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00A59E77-7D4E-4D00-84F4-5A137C9A2C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Analysis_plan" sheetId="2" r:id="rId2"/>
    <sheet name="Study_master" sheetId="3" r:id="rId3"/>
    <sheet name="Risk_of_bias" sheetId="4" r:id="rId4"/>
    <sheet name="Cohort_overlap" sheetId="5" r:id="rId5"/>
    <sheet name="Findings_all" sheetId="6" r:id="rId6"/>
    <sheet name="Harvest_input" sheetId="7" r:id="rId7"/>
    <sheet name="Heatmap_input" sheetId="8" r:id="rId8"/>
    <sheet name="Taxon_direction" sheetId="9" r:id="rId9"/>
    <sheet name="MA_Shannon" sheetId="10" r:id="rId10"/>
    <sheet name="MA_Richness" sheetId="11" r:id="rId11"/>
    <sheet name="MA_Digitisation" sheetId="12" r:id="rId12"/>
    <sheet name="Method_references" sheetId="13" r:id="rId13"/>
    <sheet name="Variable_dictionary" sheetId="14" r:id="rId14"/>
    <sheet name="MA_effect_check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5" l="1"/>
  <c r="M9" i="15" s="1"/>
  <c r="K9" i="15"/>
  <c r="N9" i="15" s="1"/>
  <c r="O9" i="15" s="1"/>
  <c r="K8" i="15"/>
  <c r="N8" i="15" s="1"/>
  <c r="N7" i="15"/>
  <c r="K7" i="15"/>
  <c r="L7" i="15" s="1"/>
  <c r="M7" i="15" s="1"/>
  <c r="L6" i="15"/>
  <c r="M6" i="15" s="1"/>
  <c r="K6" i="15"/>
  <c r="N6" i="15" s="1"/>
  <c r="O6" i="15" s="1"/>
  <c r="K5" i="15"/>
  <c r="N5" i="15" s="1"/>
  <c r="N4" i="15"/>
  <c r="K4" i="15"/>
  <c r="L4" i="15" s="1"/>
  <c r="M4" i="15" s="1"/>
  <c r="K3" i="15"/>
  <c r="L3" i="15" s="1"/>
  <c r="M3" i="15" s="1"/>
  <c r="N2" i="15"/>
  <c r="K2" i="15"/>
  <c r="L2" i="15" s="1"/>
  <c r="M2" i="15" s="1"/>
  <c r="O2" i="15" l="1"/>
  <c r="P6" i="15"/>
  <c r="Q6" i="15" s="1"/>
  <c r="S6" i="15" s="1"/>
  <c r="O4" i="15"/>
  <c r="O7" i="15"/>
  <c r="P9" i="15"/>
  <c r="Q9" i="15" s="1"/>
  <c r="S9" i="15" s="1"/>
  <c r="L5" i="15"/>
  <c r="M5" i="15" s="1"/>
  <c r="O5" i="15" s="1"/>
  <c r="L8" i="15"/>
  <c r="M8" i="15" s="1"/>
  <c r="O8" i="15" s="1"/>
  <c r="N3" i="15"/>
  <c r="O3" i="15" s="1"/>
  <c r="P8" i="15" l="1"/>
  <c r="Q8" i="15" s="1"/>
  <c r="S8" i="15" s="1"/>
  <c r="P5" i="15"/>
  <c r="Q5" i="15" s="1"/>
  <c r="S5" i="15" s="1"/>
  <c r="P3" i="15"/>
  <c r="Q3" i="15" s="1"/>
  <c r="S3" i="15" s="1"/>
  <c r="R9" i="15"/>
  <c r="P7" i="15"/>
  <c r="Q7" i="15" s="1"/>
  <c r="S7" i="15" s="1"/>
  <c r="P4" i="15"/>
  <c r="Q4" i="15" s="1"/>
  <c r="S4" i="15" s="1"/>
  <c r="R6" i="15"/>
  <c r="P2" i="15"/>
  <c r="Q2" i="15" s="1"/>
  <c r="S2" i="15"/>
  <c r="R2" i="15"/>
  <c r="R4" i="15" l="1"/>
  <c r="R7" i="15"/>
  <c r="R3" i="15"/>
  <c r="R5" i="15"/>
  <c r="R8" i="15"/>
</calcChain>
</file>

<file path=xl/sharedStrings.xml><?xml version="1.0" encoding="utf-8"?>
<sst xmlns="http://schemas.openxmlformats.org/spreadsheetml/2006/main" count="8702" uniqueCount="2545">
  <si>
    <t>item</t>
  </si>
  <si>
    <t>content</t>
  </si>
  <si>
    <t>Purpose</t>
  </si>
  <si>
    <t>Single analysis-ready source for the revised pediatric ALL microbiota systematic review.</t>
  </si>
  <si>
    <t>Core quantitative analyses</t>
  </si>
  <si>
    <t>Separate exploratory random-effects Hedges g meta-analyses for diagnosis-time gut Shannon diversity and Chao1 richness.</t>
  </si>
  <si>
    <t>Structured syntheses</t>
  </si>
  <si>
    <t>Harvest plots, direction heatmaps, taxon-direction heatmap, evidence map and unweighted study-level direction summaries.</t>
  </si>
  <si>
    <t>Meta-analysis limitation</t>
  </si>
  <si>
    <t>Only Gao reports direct mean/SD. Rajagopala and Chua are digitised; De Pietri is converted and partly post-treatment. Certainty is expected to be very low.</t>
  </si>
  <si>
    <t>R Markdown</t>
  </si>
  <si>
    <t>Place the XLSX and Rmd in the same folder and render the Rmd. Outputs are written to analysis_outputs/.</t>
  </si>
  <si>
    <t>research_question</t>
  </si>
  <si>
    <t>population_contrast</t>
  </si>
  <si>
    <t>outcomes</t>
  </si>
  <si>
    <t>recommended_synthesis</t>
  </si>
  <si>
    <t>input_sheet</t>
  </si>
  <si>
    <t>primary_outputs</t>
  </si>
  <si>
    <t>interpretation_boundary</t>
  </si>
  <si>
    <t>RQ1: Is gut alpha diversity lower at ALL diagnosis?</t>
  </si>
  <si>
    <t>Newly diagnosed/pre-treatment ALL vs healthy/sibling controls</t>
  </si>
  <si>
    <t>Shannon; Chao1</t>
  </si>
  <si>
    <t>Exploratory random-effects Hedges g meta-analyses; De Pietri only in extended sensitivity</t>
  </si>
  <si>
    <t>MA_Shannon; MA_Richness</t>
  </si>
  <si>
    <t>Four forest plots and result tables</t>
  </si>
  <si>
    <t>Only Gao has direct mean/SD; k=3 main analyses and figure-derived data mean very-low certainty.</t>
  </si>
  <si>
    <t>RQ2: What compositional signature is present at diagnosis?</t>
  </si>
  <si>
    <t>ALL vs healthy/sibling controls</t>
  </si>
  <si>
    <t>Beta diversity; recurrent taxa; SCFA commensals; pathobionts</t>
  </si>
  <si>
    <t>Direction heatmap plus harvest plot; no pooled taxon effect sizes</t>
  </si>
  <si>
    <t>Harvest_input; Heatmap_input; Taxon_direction</t>
  </si>
  <si>
    <t>Diagnosis heatmap, diagnosis harvest plot, taxon heatmap</t>
  </si>
  <si>
    <t>Different platforms, taxonomic ranks and effect metrics preclude conventional taxon meta-analysis.</t>
  </si>
  <si>
    <t>RQ3: Are functional pathways or drug interactions implicated?</t>
  </si>
  <si>
    <t>ALL at diagnosis or during PEG-asparaginase</t>
  </si>
  <si>
    <t>Shotgun pathways; microbial genes; ASNase activity</t>
  </si>
  <si>
    <t>Harvest plot and structured narrative</t>
  </si>
  <si>
    <t>Harvest_input; Findings_all</t>
  </si>
  <si>
    <t>Drug/function harvest plot</t>
  </si>
  <si>
    <t>Small overlapping Canadian cohorts and no independent replication.</t>
  </si>
  <si>
    <t>RQ4: How does microbiota change during chemotherapy?</t>
  </si>
  <si>
    <t>Within ALL over treatment or vs controls at matched stages</t>
  </si>
  <si>
    <t>Alpha/beta diversity, recovery, taxa</t>
  </si>
  <si>
    <t>Harvest plot and treatment heatmap</t>
  </si>
  <si>
    <t>Harvest_input; Heatmap_input</t>
  </si>
  <si>
    <t>Treatment harvest and heatmap</t>
  </si>
  <si>
    <t>No compatible change-score variance or harmonized timepoints for longitudinal meta-analysis.</t>
  </si>
  <si>
    <t>RQ5: How are antibiotics, resistome and infections related?</t>
  </si>
  <si>
    <t>Antibiotic groups or complication groups within ALL</t>
  </si>
  <si>
    <t>Diversity, taxa, resistance genes, infection outcomes</t>
  </si>
  <si>
    <t>Separate harvest plot; do not pool unlike infection endpoints</t>
  </si>
  <si>
    <t>Complication/antibiotic harvest and heatmap</t>
  </si>
  <si>
    <t>Strong confounding by indication and opposite diversity directions across infection phenotypes.</t>
  </si>
  <si>
    <t>RQ6: What is known after HSCT and in survivors?</t>
  </si>
  <si>
    <t>Post-HSCT/survivors vs controls or pre-post intervention</t>
  </si>
  <si>
    <t>Diversity, activity, probiotics, inflammation</t>
  </si>
  <si>
    <t>Separate harvest plot and heatmap</t>
  </si>
  <si>
    <t>HSCT/survivorship plots</t>
  </si>
  <si>
    <t>HSCT and survivor intervention are distinct contexts; Bielik is uncontrolled.</t>
  </si>
  <si>
    <t>RQ7: What is known about oral microbiota?</t>
  </si>
  <si>
    <t>Newly diagnosed ALL vs healthy</t>
  </si>
  <si>
    <t>Oral alpha/beta diversity and taxa</t>
  </si>
  <si>
    <t>Separate oral subgroup harvest; no gut pooling</t>
  </si>
  <si>
    <t>Harvest_input</t>
  </si>
  <si>
    <t>Oral harvest plot</t>
  </si>
  <si>
    <t>Anatomical site must remain separate.</t>
  </si>
  <si>
    <t>study_id</t>
  </si>
  <si>
    <t>citation_short</t>
  </si>
  <si>
    <t>year</t>
  </si>
  <si>
    <t>country</t>
  </si>
  <si>
    <t>title</t>
  </si>
  <si>
    <t>doi</t>
  </si>
  <si>
    <t>source_file</t>
  </si>
  <si>
    <t>disorder</t>
  </si>
  <si>
    <t>anatomical_site</t>
  </si>
  <si>
    <t>design</t>
  </si>
  <si>
    <t>primary_context</t>
  </si>
  <si>
    <t>enrolled_total</t>
  </si>
  <si>
    <t>analysed_cases</t>
  </si>
  <si>
    <t>analysed_controls</t>
  </si>
  <si>
    <t>sample_or_timepoint_note</t>
  </si>
  <si>
    <t>microbiota_method</t>
  </si>
  <si>
    <t>current_manuscript_included</t>
  </si>
  <si>
    <t>recommended_status</t>
  </si>
  <si>
    <t>core_analysis_default</t>
  </si>
  <si>
    <t>eligibility_issue</t>
  </si>
  <si>
    <t>cohort_id</t>
  </si>
  <si>
    <t>overlap_group</t>
  </si>
  <si>
    <t>age_criterion_issue</t>
  </si>
  <si>
    <t>risk_of_bias</t>
  </si>
  <si>
    <t>quality_score</t>
  </si>
  <si>
    <t>notes</t>
  </si>
  <si>
    <t>Dunn_2020_ASNase</t>
  </si>
  <si>
    <t>Dunn et al. 2020</t>
  </si>
  <si>
    <t>Canada</t>
  </si>
  <si>
    <t>Investigating the gut microbial community and genes in children with differing levels of change in serum asparaginase activity during pegaspargase treatment for acute lymphoblastic leukemia</t>
  </si>
  <si>
    <t>10.1080/10428194.2020.1850718</t>
  </si>
  <si>
    <t>ALL</t>
  </si>
  <si>
    <t>Gut</t>
  </si>
  <si>
    <t>Exploratory longitudinal cohort</t>
  </si>
  <si>
    <t>PEG-asparaginase pharmacokinetics</t>
  </si>
  <si>
    <t>17 stool samples; repeated observations</t>
  </si>
  <si>
    <t>16S plus shotgun metagenomics</t>
  </si>
  <si>
    <t>Include - mechanistic narrative</t>
  </si>
  <si>
    <t>No healthy comparator; not eligible for diagnosis meta-analysis</t>
  </si>
  <si>
    <t>IWK_PEGASNase_12</t>
  </si>
  <si>
    <t>IWK_Canada_possible_overlap</t>
  </si>
  <si>
    <t>No</t>
  </si>
  <si>
    <t>Moderate-high</t>
  </si>
  <si>
    <t>Likely subset of the later 26-patient Dunn cohort.</t>
  </si>
  <si>
    <t>Chua_2020</t>
  </si>
  <si>
    <t>Chua et al. 2020</t>
  </si>
  <si>
    <t>Malaysia</t>
  </si>
  <si>
    <t>Temporal changes in gut microbiota profile in children with acute lymphoblastic leukemia prior to commencement-, during-, and post-cessation of chemotherapy</t>
  </si>
  <si>
    <t>10.1186/s12885-020-6654-5</t>
  </si>
  <si>
    <t>Chua et al 2020(1).pdf</t>
  </si>
  <si>
    <t>Longitudinal observational</t>
  </si>
  <si>
    <t>Diagnosis and chemotherapy trajectory</t>
  </si>
  <si>
    <t>Repeated samples during approximately 2 years of therapy</t>
  </si>
  <si>
    <t>16S rRNA V4 sequencing</t>
  </si>
  <si>
    <t>Include</t>
  </si>
  <si>
    <t>Very small cohort; prediagnosis antibiotic exposure in most/all cases</t>
  </si>
  <si>
    <t>UMMC_Malaysia_7_7</t>
  </si>
  <si>
    <t>Figure-derived quartiles used only for exploratory alpha-diversity meta-analysis.</t>
  </si>
  <si>
    <t>Wang_2014</t>
  </si>
  <si>
    <t>Wang et al. 2014</t>
  </si>
  <si>
    <t>China</t>
  </si>
  <si>
    <t>Oral Microbiota Distinguishes Acute Lymphoblastic Leukemia Pediatric Hosts from Healthy Populations</t>
  </si>
  <si>
    <t>10.1371/journal.pone.0102116</t>
  </si>
  <si>
    <t>Oral</t>
  </si>
  <si>
    <t>Cross-sectional case-control</t>
  </si>
  <si>
    <t>Oral microbiota at diagnosis</t>
  </si>
  <si>
    <t>Newly diagnosed; no antineoplastic treatment</t>
  </si>
  <si>
    <t>16S rRNA pyrosequencing</t>
  </si>
  <si>
    <t>Include as oral subgroup</t>
  </si>
  <si>
    <t>Not a gut microbiota study; keep separate from gut syntheses</t>
  </si>
  <si>
    <t>Wang_China_oral_25</t>
  </si>
  <si>
    <t>Low/minor</t>
  </si>
  <si>
    <t>Do not mix oral and gut alpha-diversity estimates.</t>
  </si>
  <si>
    <t>Ugrayova_2022</t>
  </si>
  <si>
    <t>Ugrayova et al. 2022</t>
  </si>
  <si>
    <t>Slovakia</t>
  </si>
  <si>
    <t>Gut Microbiome Suffers from Hematopoietic Stem Cell Transplantation in Childhood and Its Characteristics Are Positively Associated with Intra-Hospital Physical Exercise</t>
  </si>
  <si>
    <t>10.3390/biology11050785</t>
  </si>
  <si>
    <t>ALL after HSCT</t>
  </si>
  <si>
    <t>Prospective observational</t>
  </si>
  <si>
    <t>HSCT and physical activity</t>
  </si>
  <si>
    <t>Serial samples to day +90</t>
  </si>
  <si>
    <t>16S rRNA V1-V3 sequencing</t>
  </si>
  <si>
    <t>Include with age deviation disclosed</t>
  </si>
  <si>
    <t>Age range extends to 19 years</t>
  </si>
  <si>
    <t>Slovakia_HSCT_16</t>
  </si>
  <si>
    <t>Slovakia_team_possible_overlap</t>
  </si>
  <si>
    <t>Yes: up to 19</t>
  </si>
  <si>
    <t>Keep separate from survivorship intervention.</t>
  </si>
  <si>
    <t>Bielik_2023</t>
  </si>
  <si>
    <t>Bielik et al. 2023</t>
  </si>
  <si>
    <t>The effect of physical exercise and dairy probiotics (Lactobacillus casei) on gut microbiome in childhood cancer survivors</t>
  </si>
  <si>
    <t>10.4149/neo_2023_230526N287</t>
  </si>
  <si>
    <t>ALL survivors</t>
  </si>
  <si>
    <t>Prospective single-arm pre-post intervention plus controls</t>
  </si>
  <si>
    <t>Survivorship and exercise-probiotic intervention</t>
  </si>
  <si>
    <t>16 survivors received 8-week combined intervention</t>
  </si>
  <si>
    <t>16S rRNA sequencing</t>
  </si>
  <si>
    <t>Include; interpret intervention as uncontrolled</t>
  </si>
  <si>
    <t>Combined exercise and probiotic; no randomized intervention control</t>
  </si>
  <si>
    <t>Slovakia_survivors_16</t>
  </si>
  <si>
    <t>High</t>
  </si>
  <si>
    <t>Granular taxon p-values were not multiplicity-adjusted; do not let this study dominate direction counts.</t>
  </si>
  <si>
    <t>Nearing_2019</t>
  </si>
  <si>
    <t>Nearing et al. 2019</t>
  </si>
  <si>
    <t>Infectious Complications Are Associated With Alterations in the Gut Microbiome in Pediatric Patients With Acute Lymphoblastic Leukemia</t>
  </si>
  <si>
    <t>10.3389/fcimb.2019.00028</t>
  </si>
  <si>
    <t>ALL during treatment</t>
  </si>
  <si>
    <t>Infectious complications</t>
  </si>
  <si>
    <t>44 stool samples from 16 children; 19 IC and 25 NIC samples</t>
  </si>
  <si>
    <t>Samples are repeated and must not be counted as 44 participants</t>
  </si>
  <si>
    <t>IWK_infection_16</t>
  </si>
  <si>
    <t>Possible participant overlap with Dunn reports not confirmed.</t>
  </si>
  <si>
    <t>Liu_2021_Pneumonia</t>
  </si>
  <si>
    <t>Liu et al. 2021</t>
  </si>
  <si>
    <t>Characteristics in gut microbiome is associated with chemotherapy-induced pneumonia in pediatric acute lymphoblastic leukemia</t>
  </si>
  <si>
    <t>10.1186/s12885-021-08917-y</t>
  </si>
  <si>
    <t>ALL during chemotherapy</t>
  </si>
  <si>
    <t>Nested case-control</t>
  </si>
  <si>
    <t>Chemotherapy-induced pneumonia</t>
  </si>
  <si>
    <t>Same 58 ALL participants as Liu 2020 diagnosis cohort</t>
  </si>
  <si>
    <t>16S quantitative microarray</t>
  </si>
  <si>
    <t>Include as complication analysis</t>
  </si>
  <si>
    <t>Not an independent diagnosis cohort</t>
  </si>
  <si>
    <t>Tianjin_ALL_58</t>
  </si>
  <si>
    <t>Liu_2020_2021_same_cohort</t>
  </si>
  <si>
    <t>Do not double-count with Liu 2020 in cohort totals.</t>
  </si>
  <si>
    <t>Dunn_2021_Genes</t>
  </si>
  <si>
    <t>Dunn et al. 2021</t>
  </si>
  <si>
    <t>Gut bacterial gene changes following pegaspargase treatment in pediatric patients with acute lymphoblastic leukemia</t>
  </si>
  <si>
    <t>10.1080/10428194.2021.1953006</t>
  </si>
  <si>
    <t>PEG-asparaginase, antibiotics and microbial function</t>
  </si>
  <si>
    <t>88 stool samples across treatment weeks</t>
  </si>
  <si>
    <t>Shotgun metagenomics plus stool amino acids</t>
  </si>
  <si>
    <t>No healthy comparator; overlaps/extends Dunn 2020</t>
  </si>
  <si>
    <t>IWK_PEGASNase_26</t>
  </si>
  <si>
    <t>Moderate</t>
  </si>
  <si>
    <t>Treat Dunn 2020 and 2021 as one underlying programme for overlapping endpoints.</t>
  </si>
  <si>
    <t>Margolis_2021</t>
  </si>
  <si>
    <t>Margolis et al. 2021</t>
  </si>
  <si>
    <t>USA</t>
  </si>
  <si>
    <t>Antibiotic prophylaxis and the gastrointestinal resistome in paediatric patients with acute lymphoblastic leukaemia</t>
  </si>
  <si>
    <t>10.1016/S2666-5247(20)30202-0</t>
  </si>
  <si>
    <t>Prospective cohort</t>
  </si>
  <si>
    <t>Antibiotic prophylaxis and resistome</t>
  </si>
  <si>
    <t>118 samples: baseline, post-induction and post-consolidation</t>
  </si>
  <si>
    <t>Shotgun metagenomics</t>
  </si>
  <si>
    <t>Single centre and nonrandomized prophylaxis assignment</t>
  </si>
  <si>
    <t>StJude_resistome_49</t>
  </si>
  <si>
    <t>Resistome and C. difficile findings should be presented together as a benefit-risk trade-off.</t>
  </si>
  <si>
    <t>Park_2023</t>
  </si>
  <si>
    <t>Park et al. 2023</t>
  </si>
  <si>
    <t>Obesogenic microbial signatures and the development of obesity in childhood acute lymphoblastic leukemia</t>
  </si>
  <si>
    <t>10.1016/j.leukres.2023.107017</t>
  </si>
  <si>
    <t>Prospective multicentre cohort</t>
  </si>
  <si>
    <t>Weight status during treatment</t>
  </si>
  <si>
    <t>Diagnosis, end of induction and 6 months</t>
  </si>
  <si>
    <t>Age range extends to 21 years</t>
  </si>
  <si>
    <t>US_multisite_weight_62</t>
  </si>
  <si>
    <t>Yes: up to 21</t>
  </si>
  <si>
    <t>Internal weight-status comparison; not disease-versus-healthy evidence.</t>
  </si>
  <si>
    <t>Guadalupe_2013</t>
  </si>
  <si>
    <t>Guadalupe et al. 2013</t>
  </si>
  <si>
    <t>Mexico</t>
  </si>
  <si>
    <t>Bacterias oportunistas y microbiota en niños con leucemia y enterocolitis neutropénica</t>
  </si>
  <si>
    <t>Mixed ALL and AML</t>
  </si>
  <si>
    <t>Stool culture</t>
  </si>
  <si>
    <t>Prospective descriptive</t>
  </si>
  <si>
    <t>Neutropenic enterocolitis</t>
  </si>
  <si>
    <t>57% ALL and 43% AML; no separated ALL outcomes</t>
  </si>
  <si>
    <t>Coproculture and pathogen identification</t>
  </si>
  <si>
    <t>Reconsider / exclude from core microbiota review</t>
  </si>
  <si>
    <t>Mixed ALL/AML; no community sequencing/diversity; pathogen culture only</t>
  </si>
  <si>
    <t>Mexico_enterocolitis_21</t>
  </si>
  <si>
    <t>Can be retained only as contextual clinical microbiology if protocol explicitly allowed pathogen culture.</t>
  </si>
  <si>
    <t>Chiou_2019</t>
  </si>
  <si>
    <t>Chiou et al. 2019</t>
  </si>
  <si>
    <t>UK</t>
  </si>
  <si>
    <t>Hypogammaglobulinemia and bacterial infections following pediatric post-transplant lymphoproliferative disorder in the rituximab era</t>
  </si>
  <si>
    <t>10.1111/petr.13519</t>
  </si>
  <si>
    <t>PTLD after solid-organ transplant</t>
  </si>
  <si>
    <t>Clinical cultures</t>
  </si>
  <si>
    <t>Retrospective cohort</t>
  </si>
  <si>
    <t>PTLD treatment and infection</t>
  </si>
  <si>
    <t>28</t>
  </si>
  <si>
    <t>Clinical culture-positive infections; no resident microbiota profiling</t>
  </si>
  <si>
    <t>Clinical infection monitoring</t>
  </si>
  <si>
    <t>No microbiota community outcome; clinical infections only</t>
  </si>
  <si>
    <t>UK_PTLD_28</t>
  </si>
  <si>
    <t>If excluded, the review evidence base becomes entirely ALL.</t>
  </si>
  <si>
    <t>Liu_2020_Diagnosis</t>
  </si>
  <si>
    <t>Liu et al. 2020</t>
  </si>
  <si>
    <t>Pediatric Acute Lymphoblastic Leukemia Patients Exhibit Distinctive Alterations in the Gut Microbiota</t>
  </si>
  <si>
    <t>10.3389/fcimb.2020.558799</t>
  </si>
  <si>
    <t>Diagnosis / pre-treatment</t>
  </si>
  <si>
    <t>Same 58 ALL later split by pneumonia in Liu 2021</t>
  </si>
  <si>
    <t>16S quantitative microarray plus qPCR</t>
  </si>
  <si>
    <t>Alpha-diversity numerical summaries unavailable</t>
  </si>
  <si>
    <t>Do not enter direction-only alpha results into SMD meta-analysis.</t>
  </si>
  <si>
    <t>DePietri_2020</t>
  </si>
  <si>
    <t>De Pietri et al. 2020</t>
  </si>
  <si>
    <t>Denmark</t>
  </si>
  <si>
    <t>Gastrointestinal toxicity during induction treatment for childhood acute lymphoblastic leukemia: The impact of the gut microbiota</t>
  </si>
  <si>
    <t>10.1002/ijc.32942</t>
  </si>
  <si>
    <t>De Pietri et al 2020(1).pdf</t>
  </si>
  <si>
    <t>Early induction and mucosal toxicity</t>
  </si>
  <si>
    <t>Day-1 samples ranged from 2 days before to 5 days after treatment initiation</t>
  </si>
  <si>
    <t>16S rRNA V3-V4 sequencing</t>
  </si>
  <si>
    <t>Baseline is not strictly pre-treatment for all participants</t>
  </si>
  <si>
    <t>NOPHO_Denmark_51_19</t>
  </si>
  <si>
    <t>Use only in extended early-induction alpha-diversity sensitivity analysis.</t>
  </si>
  <si>
    <t>Rajagopala_2020</t>
  </si>
  <si>
    <t>Rajagopala et al. 2020</t>
  </si>
  <si>
    <t>Persistent Gut Microbial Dysbiosis in Children with Acute Lymphoblastic Leukemia During Chemotherapy</t>
  </si>
  <si>
    <t>10.1007/s00248-019-01448-x</t>
  </si>
  <si>
    <t>Rajagopala et al 2020(1).pdf</t>
  </si>
  <si>
    <t>Prospective case-control longitudinal</t>
  </si>
  <si>
    <t>Diagnosis and first treatment year</t>
  </si>
  <si>
    <t>32 ALL and 25 siblings enrolled; 29 and 23 analysed after filtering; main matched dataset 2 contains 14 pairs</t>
  </si>
  <si>
    <t>Matched-pair correlation unavailable for meta-analysis</t>
  </si>
  <si>
    <t>CHOC_ALL_siblings</t>
  </si>
  <si>
    <t>None</t>
  </si>
  <si>
    <t>Meta-analysis uses digitised dataset-2 boxplot values and treats groups as independent as a sensitivity approximation.</t>
  </si>
  <si>
    <t>Gao_2020</t>
  </si>
  <si>
    <t>Gao et al. 2020</t>
  </si>
  <si>
    <t>A new insight into acute lymphoblastic leukemia in children: influences of changed intestinal microfloras</t>
  </si>
  <si>
    <t>10.1186/s12887-020-02192-9</t>
  </si>
  <si>
    <t>Cross-sectional case-control with remission subset</t>
  </si>
  <si>
    <t>Subset compared before and during remission</t>
  </si>
  <si>
    <t>16S rDNA V3-V4 sequencing</t>
  </si>
  <si>
    <t>Small single-centre study</t>
  </si>
  <si>
    <t>Gao_Sichuan_18_18</t>
  </si>
  <si>
    <t>Only study with directly reported diagnosis-time Shannon and Chao1 means and SDs.</t>
  </si>
  <si>
    <t>Muratore_2025</t>
  </si>
  <si>
    <t>Muratore et al. 2025</t>
  </si>
  <si>
    <t>Italy</t>
  </si>
  <si>
    <t>Distinct functional and compositional properties in the gut microbiome of children with acute lymphoblastic leukaemia identified by shotgun metagenomics</t>
  </si>
  <si>
    <t>10.1038/s41598-025-27280-7</t>
  </si>
  <si>
    <t>Multicentre cross-sectional case-control</t>
  </si>
  <si>
    <t>19 B-ALL, 11 T-ALL; 176 public European controls</t>
  </si>
  <si>
    <t>Public controls and age/geography heterogeneity</t>
  </si>
  <si>
    <t>AIEOP_ALL_30_publicHC_176</t>
  </si>
  <si>
    <t>Downloaded and directly verified; no numerical alpha-diversity summaries suitable for SMD.</t>
  </si>
  <si>
    <t>tool</t>
  </si>
  <si>
    <t>overall_appraisal</t>
  </si>
  <si>
    <t>use_in_harvest</t>
  </si>
  <si>
    <t>JBI cross-sectional</t>
  </si>
  <si>
    <t>All core checklist domains judged adequate in existing appraisal.</t>
  </si>
  <si>
    <t>Confounding and analysis limitations; non-core eligibility issue.</t>
  </si>
  <si>
    <t>Existing appraisal: include.</t>
  </si>
  <si>
    <t>Existing appraisal: include; public-control indirectness remains.</t>
  </si>
  <si>
    <t>JBI trial</t>
  </si>
  <si>
    <t>Nonrandomized, single-arm, unblinded combined intervention.</t>
  </si>
  <si>
    <t>JBI longitudinal</t>
  </si>
  <si>
    <t>Small and exploratory.</t>
  </si>
  <si>
    <t>Very small and repeated observations.</t>
  </si>
  <si>
    <t>Small, nonrandomized physical activity exposure.</t>
  </si>
  <si>
    <t>Repeated samples and time-varying confounding.</t>
  </si>
  <si>
    <t>JBI longitudinal/case-control</t>
  </si>
  <si>
    <t>Nested cohort and limited adjustment.</t>
  </si>
  <si>
    <t>Repeated tests and overlapping cohort.</t>
  </si>
  <si>
    <t>Strong longitudinal modelling but nonrandomized exposure.</t>
  </si>
  <si>
    <t>Multicentre but exploratory subgroup analyses.</t>
  </si>
  <si>
    <t>Confounding by indication and no microbiota outcome.</t>
  </si>
  <si>
    <t>Longitudinal design; incomplete matched data for some analyses.</t>
  </si>
  <si>
    <t>JBI longitudinal/cross-sectional</t>
  </si>
  <si>
    <t>Small but directly reported diagnosis data.</t>
  </si>
  <si>
    <t>Prospective repeated measures; baseline partly post-treatment.</t>
  </si>
  <si>
    <t>reports</t>
  </si>
  <si>
    <t>assessment</t>
  </si>
  <si>
    <t>evidence</t>
  </si>
  <si>
    <t>analysis_rule</t>
  </si>
  <si>
    <t>Dunn_2020_ASNase; Dunn_2021_Genes</t>
  </si>
  <si>
    <t>Likely partial overlap / extension</t>
  </si>
  <si>
    <t>Same centre, programme and investigators; 12-patient study followed by 26-patient study</t>
  </si>
  <si>
    <t>Treat as one programme for overlapping outcomes.</t>
  </si>
  <si>
    <t>Nearing_2019; Dunn reports</t>
  </si>
  <si>
    <t>Possible, unconfirmed</t>
  </si>
  <si>
    <t>Same centre and shared investigators; participant identifiers are not mapped in reports</t>
  </si>
  <si>
    <t>Do not count as independent for the same endpoint without author confirmation.</t>
  </si>
  <si>
    <t>Liu_2020_Diagnosis; Liu_2021_Pneumonia</t>
  </si>
  <si>
    <t>Confirmed same underlying ALL cohort</t>
  </si>
  <si>
    <t>Both use 58 ALL patients recruited at the same institution and period; 2021 splits 14 pneumonia/44 unaffected</t>
  </si>
  <si>
    <t>Count once in cohort totals; use in separate research questions only.</t>
  </si>
  <si>
    <t>Ugrayova_2022; Bielik_2023</t>
  </si>
  <si>
    <t>Possible team overlap; participant overlap unconfirmed</t>
  </si>
  <si>
    <t>Shared institutions/authors but different HSCT and survivor contexts</t>
  </si>
  <si>
    <t>Keep contexts separate and avoid combining as independent intervention replications.</t>
  </si>
  <si>
    <t>finding_id</t>
  </si>
  <si>
    <t>clinical_context</t>
  </si>
  <si>
    <t>comparison_original</t>
  </si>
  <si>
    <t>analysis_type</t>
  </si>
  <si>
    <t>exposure_intervention</t>
  </si>
  <si>
    <t>outcome_domain</t>
  </si>
  <si>
    <t>outcome_original</t>
  </si>
  <si>
    <t>group1_label</t>
  </si>
  <si>
    <t>group1_value</t>
  </si>
  <si>
    <t>group1_sd_text</t>
  </si>
  <si>
    <t>group2_label</t>
  </si>
  <si>
    <t>group2_value</t>
  </si>
  <si>
    <t>group2_sd_text</t>
  </si>
  <si>
    <t>effect_size_text</t>
  </si>
  <si>
    <t>ci_text</t>
  </si>
  <si>
    <t>p_value_text</t>
  </si>
  <si>
    <t>p_value_numeric</t>
  </si>
  <si>
    <t>significant</t>
  </si>
  <si>
    <t>statistical_method</t>
  </si>
  <si>
    <t>adjusted_for_confounders</t>
  </si>
  <si>
    <t>subgroup_analysis</t>
  </si>
  <si>
    <t>direction_code</t>
  </si>
  <si>
    <t>direction_label</t>
  </si>
  <si>
    <t>reported_association</t>
  </si>
  <si>
    <t>multiplicity_note</t>
  </si>
  <si>
    <t>independence_note</t>
  </si>
  <si>
    <t>verification_level</t>
  </si>
  <si>
    <t>F0001</t>
  </si>
  <si>
    <t>Survivorship baseline</t>
  </si>
  <si>
    <t>PALL vs. Controls</t>
  </si>
  <si>
    <t>Crosssectional</t>
  </si>
  <si>
    <t>ALL survivor status</t>
  </si>
  <si>
    <t>Taxonomy</t>
  </si>
  <si>
    <t>Firmicutes abundance</t>
  </si>
  <si>
    <t>PALL</t>
  </si>
  <si>
    <t>62.15±10.39</t>
  </si>
  <si>
    <t>±10.39</t>
  </si>
  <si>
    <t>Control</t>
  </si>
  <si>
    <t>43.87±11.46</t>
  </si>
  <si>
    <t>±11.46</t>
  </si>
  <si>
    <t>0.001</t>
  </si>
  <si>
    <t>Yes</t>
  </si>
  <si>
    <t>ttest</t>
  </si>
  <si>
    <t>Higher/enriched</t>
  </si>
  <si>
    <t>Increased in PALL</t>
  </si>
  <si>
    <t>Not stated / unadjusted</t>
  </si>
  <si>
    <t>F0002</t>
  </si>
  <si>
    <t>Bacteroidetes abundance</t>
  </si>
  <si>
    <t>29.95±10.04</t>
  </si>
  <si>
    <t>±10.04</t>
  </si>
  <si>
    <t>43.98±13.75</t>
  </si>
  <si>
    <t>±13.75</t>
  </si>
  <si>
    <t>0.005</t>
  </si>
  <si>
    <t>Lower/depleted</t>
  </si>
  <si>
    <t>Decreased in PALL</t>
  </si>
  <si>
    <t>F0003</t>
  </si>
  <si>
    <t>Other</t>
  </si>
  <si>
    <t>Firmicutes/Bacteroidetes ratio</t>
  </si>
  <si>
    <t>2.4±1.2</t>
  </si>
  <si>
    <t>±1.2</t>
  </si>
  <si>
    <t>1.2±0.7</t>
  </si>
  <si>
    <t>±0.7</t>
  </si>
  <si>
    <t>F0004</t>
  </si>
  <si>
    <t>Barnesiella intestinihominis abundance</t>
  </si>
  <si>
    <t>0.1860±0.40</t>
  </si>
  <si>
    <t>±0.40</t>
  </si>
  <si>
    <t>1.0244±1.14</t>
  </si>
  <si>
    <t>±1.14</t>
  </si>
  <si>
    <t>0.014</t>
  </si>
  <si>
    <t>Lower in PALL</t>
  </si>
  <si>
    <t>F0005</t>
  </si>
  <si>
    <t>Leptospira abundance</t>
  </si>
  <si>
    <t>0.6066±0.30</t>
  </si>
  <si>
    <t>±0.30</t>
  </si>
  <si>
    <t>0.1985±0.22</t>
  </si>
  <si>
    <t>±0.22</t>
  </si>
  <si>
    <t>Higher in PALL</t>
  </si>
  <si>
    <t>F0006</t>
  </si>
  <si>
    <t>Enterocloster abundance</t>
  </si>
  <si>
    <t>0.5160±0.31</t>
  </si>
  <si>
    <t>±0.31</t>
  </si>
  <si>
    <t>0.2879±0.28</t>
  </si>
  <si>
    <t>±0.28</t>
  </si>
  <si>
    <t>0.018</t>
  </si>
  <si>
    <t>F0007</t>
  </si>
  <si>
    <t>Survivorship intervention</t>
  </si>
  <si>
    <t>PALL Pre vs. Post</t>
  </si>
  <si>
    <t>Intervention</t>
  </si>
  <si>
    <t>Exercise + probiotic</t>
  </si>
  <si>
    <t>Alpha diversity</t>
  </si>
  <si>
    <t>Shannon index</t>
  </si>
  <si>
    <t>Pre</t>
  </si>
  <si>
    <t>3.22±0.45</t>
  </si>
  <si>
    <t>±0.45</t>
  </si>
  <si>
    <t>Post</t>
  </si>
  <si>
    <t>3.47±0.24</t>
  </si>
  <si>
    <t>±0.24</t>
  </si>
  <si>
    <t>0.04</t>
  </si>
  <si>
    <t>paired ttest</t>
  </si>
  <si>
    <t>Increase after intervention</t>
  </si>
  <si>
    <t>F0008</t>
  </si>
  <si>
    <t>Simpson index</t>
  </si>
  <si>
    <t>0.10±0.05</t>
  </si>
  <si>
    <t>±0.05</t>
  </si>
  <si>
    <t>0.06±0.02</t>
  </si>
  <si>
    <t>±0.02</t>
  </si>
  <si>
    <t>0.02</t>
  </si>
  <si>
    <t>Decrease after intervention</t>
  </si>
  <si>
    <t>F0009</t>
  </si>
  <si>
    <t>Chao1 index</t>
  </si>
  <si>
    <t>693.88±238.58</t>
  </si>
  <si>
    <t>±238.58</t>
  </si>
  <si>
    <t>794.23±116.34</t>
  </si>
  <si>
    <t>±116.34</t>
  </si>
  <si>
    <t>F0010</t>
  </si>
  <si>
    <t>Balneolaeota (phylum)</t>
  </si>
  <si>
    <t>5.94E04±1.19E03</t>
  </si>
  <si>
    <t>±1.19E03</t>
  </si>
  <si>
    <t>1.59E03±1.42E03</t>
  </si>
  <si>
    <t>±1.42E03</t>
  </si>
  <si>
    <t>F0011</t>
  </si>
  <si>
    <t>Balneolia (class)</t>
  </si>
  <si>
    <t>F0012</t>
  </si>
  <si>
    <t>Dehalococcoidia (class)</t>
  </si>
  <si>
    <t>2.15E03±3.46E03</t>
  </si>
  <si>
    <t>±3.46E03</t>
  </si>
  <si>
    <t>3.55E03±2.47E03</t>
  </si>
  <si>
    <t>±2.47E03</t>
  </si>
  <si>
    <t>0.05</t>
  </si>
  <si>
    <t>Borderline</t>
  </si>
  <si>
    <t>F0013</t>
  </si>
  <si>
    <t>Balneloales (order)</t>
  </si>
  <si>
    <t>F0014</t>
  </si>
  <si>
    <t>Halanaerobiales (order)</t>
  </si>
  <si>
    <t>1.92E03±3.20E03</t>
  </si>
  <si>
    <t>±3.20E03</t>
  </si>
  <si>
    <t>3.52E04±7.64E04</t>
  </si>
  <si>
    <t>±7.64E04</t>
  </si>
  <si>
    <t>0.03</t>
  </si>
  <si>
    <t>F0015</t>
  </si>
  <si>
    <t>Legionellales (order)</t>
  </si>
  <si>
    <t>1.24E03±2.85E03</t>
  </si>
  <si>
    <t>±2.85E03</t>
  </si>
  <si>
    <t>1.87E03±3.39E03</t>
  </si>
  <si>
    <t>±3.39E03</t>
  </si>
  <si>
    <t>F0016</t>
  </si>
  <si>
    <t>Marinilabiliales (order)</t>
  </si>
  <si>
    <t>1.17E04±4.68E04</t>
  </si>
  <si>
    <t>±4.68E04</t>
  </si>
  <si>
    <t>1.15E03±1.96E03</t>
  </si>
  <si>
    <t>±1.96E03</t>
  </si>
  <si>
    <t>F0017</t>
  </si>
  <si>
    <t>Oscillatoriales (order)</t>
  </si>
  <si>
    <t>1.31E04±5.23E04</t>
  </si>
  <si>
    <t>±5.23E04</t>
  </si>
  <si>
    <t>1.00E03±1.21E03</t>
  </si>
  <si>
    <t>±1.21E03</t>
  </si>
  <si>
    <t>F0018</t>
  </si>
  <si>
    <t>Balneolaceae (family)</t>
  </si>
  <si>
    <t>4.64E04±8.33E04</t>
  </si>
  <si>
    <t>±8.33E04</t>
  </si>
  <si>
    <t>0.01</t>
  </si>
  <si>
    <t>F0019</t>
  </si>
  <si>
    <t>Dysgonamonadaceae (family)</t>
  </si>
  <si>
    <t>1.25E02±4.46E02</t>
  </si>
  <si>
    <t>±4.46E02</t>
  </si>
  <si>
    <t>F0020</t>
  </si>
  <si>
    <t>Halobacteroidaceae (family)</t>
  </si>
  <si>
    <t>1.57E03±1.96E03</t>
  </si>
  <si>
    <t>F0021</t>
  </si>
  <si>
    <t>Hungateiclostridiaceae (family)</t>
  </si>
  <si>
    <t>8.99E02±1.11E01</t>
  </si>
  <si>
    <t>±1.11E01</t>
  </si>
  <si>
    <t>1.51E01±1.37E01</t>
  </si>
  <si>
    <t>±1.37E01</t>
  </si>
  <si>
    <t>F0022</t>
  </si>
  <si>
    <t>Leuconostocaceae (family)</t>
  </si>
  <si>
    <t>3.48E02±2.80E02</t>
  </si>
  <si>
    <t>±2.80E02</t>
  </si>
  <si>
    <t>7.11E02±3.98E02</t>
  </si>
  <si>
    <t>±3.98E02</t>
  </si>
  <si>
    <t>F0023</t>
  </si>
  <si>
    <t>Peptostreptococcaceae (family)</t>
  </si>
  <si>
    <t>8.10E01±5.64E01</t>
  </si>
  <si>
    <t>±5.64E01</t>
  </si>
  <si>
    <t>2.00E+00±2.51E+00</t>
  </si>
  <si>
    <t>±2.51E+00</t>
  </si>
  <si>
    <t>F0024</t>
  </si>
  <si>
    <t>Barnesiella (genus)</t>
  </si>
  <si>
    <t>2.01E01±4.19E01</t>
  </si>
  <si>
    <t>±4.19E01</t>
  </si>
  <si>
    <t>5.39E01±7.79E01</t>
  </si>
  <si>
    <t>±7.79E01</t>
  </si>
  <si>
    <t>F0025</t>
  </si>
  <si>
    <t>Candidatus neoehrlichia (genus)</t>
  </si>
  <si>
    <t>6.83E04±1.19E03</t>
  </si>
  <si>
    <t>0.00E+00±0.00E+00</t>
  </si>
  <si>
    <t>F0026</t>
  </si>
  <si>
    <t>Clostridioides (genus)</t>
  </si>
  <si>
    <t>6.59E01±4.58E01</t>
  </si>
  <si>
    <t>±4.58E01</t>
  </si>
  <si>
    <t>1.56E+00±1.96E+00</t>
  </si>
  <si>
    <t>±1.96E+00</t>
  </si>
  <si>
    <t>F0027</t>
  </si>
  <si>
    <t>Bacteroides fragilis (species)</t>
  </si>
  <si>
    <t>1.04±1.35</t>
  </si>
  <si>
    <t>±1.35</t>
  </si>
  <si>
    <t>0.57±0.83</t>
  </si>
  <si>
    <t>±0.83</t>
  </si>
  <si>
    <t>F0028</t>
  </si>
  <si>
    <t>Streptococcus salivarius (species)</t>
  </si>
  <si>
    <t>0.278±0.221</t>
  </si>
  <si>
    <t>±0.221</t>
  </si>
  <si>
    <t>0.317±0.709</t>
  </si>
  <si>
    <t>±0.709</t>
  </si>
  <si>
    <t>F0029</t>
  </si>
  <si>
    <t>Paenibacillus pabuli (species)</t>
  </si>
  <si>
    <t>0.00152±0.00261</t>
  </si>
  <si>
    <t>±0.00261</t>
  </si>
  <si>
    <t>F0030</t>
  </si>
  <si>
    <t>Paraclostridium bifermentans (species)</t>
  </si>
  <si>
    <t>0.0837±0.0831</t>
  </si>
  <si>
    <t>±0.0831</t>
  </si>
  <si>
    <t>0.287±0.466</t>
  </si>
  <si>
    <t>±0.466</t>
  </si>
  <si>
    <t>F0031</t>
  </si>
  <si>
    <t>Clinical association</t>
  </si>
  <si>
    <t>Clostridioides difficile (species)</t>
  </si>
  <si>
    <t>0.657±0.456</t>
  </si>
  <si>
    <t>±0.456</t>
  </si>
  <si>
    <t>1.56±1.96</t>
  </si>
  <si>
    <t>±1.96</t>
  </si>
  <si>
    <t>F0032</t>
  </si>
  <si>
    <t>Paeniclostridium sordellii (species)</t>
  </si>
  <si>
    <t>0.0385±0.0244</t>
  </si>
  <si>
    <t>±0.0244</t>
  </si>
  <si>
    <t>0.115±0.115</t>
  </si>
  <si>
    <t>±0.115</t>
  </si>
  <si>
    <t>F0033</t>
  </si>
  <si>
    <t>Clostridium carnis (species)</t>
  </si>
  <si>
    <t>0.00125±0.00217</t>
  </si>
  <si>
    <t>±0.00217</t>
  </si>
  <si>
    <t>0.00746±0.0108</t>
  </si>
  <si>
    <t>±0.0108</t>
  </si>
  <si>
    <t>F0034</t>
  </si>
  <si>
    <t>Clostridium baratii (species)</t>
  </si>
  <si>
    <t>0.0108±0.0135</t>
  </si>
  <si>
    <t>±0.0135</t>
  </si>
  <si>
    <t>0.0783±0.189</t>
  </si>
  <si>
    <t>±0.189</t>
  </si>
  <si>
    <t>F0035</t>
  </si>
  <si>
    <t>Lactobacillus casei (species)</t>
  </si>
  <si>
    <t>0.00504±0.0162</t>
  </si>
  <si>
    <t>±0.0162</t>
  </si>
  <si>
    <t>0.0292±0.0503</t>
  </si>
  <si>
    <t>±0.0503</t>
  </si>
  <si>
    <t>F0036</t>
  </si>
  <si>
    <t>Mycoplasma feliminutum (species)</t>
  </si>
  <si>
    <t>0.00114±0.00225</t>
  </si>
  <si>
    <t>±0.00225</t>
  </si>
  <si>
    <t>0.00017±0.00068</t>
  </si>
  <si>
    <t>±0.00068</t>
  </si>
  <si>
    <t>F0037</t>
  </si>
  <si>
    <t>Clostridium aerotolerans (species)</t>
  </si>
  <si>
    <t>0.0355±0.0342</t>
  </si>
  <si>
    <t>±0.0342</t>
  </si>
  <si>
    <t>0.0767±0.0589</t>
  </si>
  <si>
    <t>±0.0589</t>
  </si>
  <si>
    <t>F0038</t>
  </si>
  <si>
    <t>Clostridium quinii (species)</t>
  </si>
  <si>
    <t>0.00690±0.0105</t>
  </si>
  <si>
    <t>±0.0105</t>
  </si>
  <si>
    <t>0.0261±0.0323</t>
  </si>
  <si>
    <t>±0.0323</t>
  </si>
  <si>
    <t>F0039</t>
  </si>
  <si>
    <t>Abiotrophia defectiva (species)</t>
  </si>
  <si>
    <t>0.000955±0.00156</t>
  </si>
  <si>
    <t>±0.00156</t>
  </si>
  <si>
    <t>0.00000±0.00000</t>
  </si>
  <si>
    <t>±0.00000</t>
  </si>
  <si>
    <t>F0040</t>
  </si>
  <si>
    <t>Clostridium sartagoforme (species)</t>
  </si>
  <si>
    <t>0.00186±0.00194</t>
  </si>
  <si>
    <t>±0.00194</t>
  </si>
  <si>
    <t>0.0222±0.0567</t>
  </si>
  <si>
    <t>±0.0567</t>
  </si>
  <si>
    <t>F0041</t>
  </si>
  <si>
    <t>Dorea longicatena (species)</t>
  </si>
  <si>
    <t>0.000507±0.00119</t>
  </si>
  <si>
    <t>±0.00119</t>
  </si>
  <si>
    <t>0.00193±0.00198</t>
  </si>
  <si>
    <t>±0.00198</t>
  </si>
  <si>
    <t>F0042</t>
  </si>
  <si>
    <t>Veillonella ratti (species)</t>
  </si>
  <si>
    <t>0.0260±0.0262</t>
  </si>
  <si>
    <t>±0.0262</t>
  </si>
  <si>
    <t>0.0563±0.0634</t>
  </si>
  <si>
    <t>±0.0634</t>
  </si>
  <si>
    <t>F0043</t>
  </si>
  <si>
    <t>Prevotella copri (species)</t>
  </si>
  <si>
    <t>0.000492±0.000892</t>
  </si>
  <si>
    <t>±0.000892</t>
  </si>
  <si>
    <t>0.0148±0.0330</t>
  </si>
  <si>
    <t>±0.0330</t>
  </si>
  <si>
    <t>F0044</t>
  </si>
  <si>
    <t>Sporotomaculum syntrophicum (species)</t>
  </si>
  <si>
    <t>0.00274±0.00346</t>
  </si>
  <si>
    <t>±0.00346</t>
  </si>
  <si>
    <t>0.000311±0.000854</t>
  </si>
  <si>
    <t>±0.000854</t>
  </si>
  <si>
    <t>F0045</t>
  </si>
  <si>
    <t>Bacteroides barnesiae (species)</t>
  </si>
  <si>
    <t>0.00202±0.00550</t>
  </si>
  <si>
    <t>±0.00550</t>
  </si>
  <si>
    <t>0.00495±0.0121</t>
  </si>
  <si>
    <t>±0.0121</t>
  </si>
  <si>
    <t>F0046</t>
  </si>
  <si>
    <t>Bacteroides propionicifaciens (species)</t>
  </si>
  <si>
    <t>0.00153±0.00256</t>
  </si>
  <si>
    <t>±0.00256</t>
  </si>
  <si>
    <t>0.00495±0.00585</t>
  </si>
  <si>
    <t>±0.00585</t>
  </si>
  <si>
    <t>F0047</t>
  </si>
  <si>
    <t>Veillonella rogosae (species)</t>
  </si>
  <si>
    <t>0.00167±0.00188</t>
  </si>
  <si>
    <t>±0.00188</t>
  </si>
  <si>
    <t>0.00519±0.00355</t>
  </si>
  <si>
    <t>±0.00355</t>
  </si>
  <si>
    <t>0.00</t>
  </si>
  <si>
    <t>F0048</t>
  </si>
  <si>
    <t>Alistipes inops (species)</t>
  </si>
  <si>
    <t>0.0190±0.0748</t>
  </si>
  <si>
    <t>±0.0748</t>
  </si>
  <si>
    <t>0.144±0.391</t>
  </si>
  <si>
    <t>±0.391</t>
  </si>
  <si>
    <t>F0049</t>
  </si>
  <si>
    <t>Correlation</t>
  </si>
  <si>
    <t>Functional / drug interaction</t>
  </si>
  <si>
    <t>Lactobacillus–Veillonella (genera) association</t>
  </si>
  <si>
    <t>1125</t>
  </si>
  <si>
    <t>0.566</t>
  </si>
  <si>
    <t>Positive association</t>
  </si>
  <si>
    <t>F0050</t>
  </si>
  <si>
    <t>Lactobacillus (genus)–Veillonella ratti association</t>
  </si>
  <si>
    <t>0.461</t>
  </si>
  <si>
    <t>0.008</t>
  </si>
  <si>
    <t>F0051</t>
  </si>
  <si>
    <t>Lactobacillus (genus)–Veillonella magna association</t>
  </si>
  <si>
    <t>0.479</t>
  </si>
  <si>
    <t>0.006</t>
  </si>
  <si>
    <t>F0052</t>
  </si>
  <si>
    <t>Lactobacillus casei–Veillonella rogosae association</t>
  </si>
  <si>
    <t>0.522</t>
  </si>
  <si>
    <t>0.002</t>
  </si>
  <si>
    <t>F0053</t>
  </si>
  <si>
    <t>Serum lactate dehydrogenase</t>
  </si>
  <si>
    <t>3.57±0.62</t>
  </si>
  <si>
    <t>±0.62</t>
  </si>
  <si>
    <t>3.67±0.71</t>
  </si>
  <si>
    <t>±0.71</t>
  </si>
  <si>
    <t>0.62</t>
  </si>
  <si>
    <t>No difference</t>
  </si>
  <si>
    <t>No significant difference</t>
  </si>
  <si>
    <t>F0054</t>
  </si>
  <si>
    <t>Serum Creactive protein</t>
  </si>
  <si>
    <t>2.12±6.59</t>
  </si>
  <si>
    <t>±6.59</t>
  </si>
  <si>
    <t>2.75±7.74</t>
  </si>
  <si>
    <t>±7.74</t>
  </si>
  <si>
    <t>0.16</t>
  </si>
  <si>
    <t>F0055</t>
  </si>
  <si>
    <t>PTLD clinical outcomes</t>
  </si>
  <si>
    <t>RTX vs. nonRTX</t>
  </si>
  <si>
    <t>Cohort (retrospective)</t>
  </si>
  <si>
    <t>Rituximab therapy</t>
  </si>
  <si>
    <t>Culturepositive bacterial infection (CPBI) incidence per 100 patientyears</t>
  </si>
  <si>
    <t>RTX</t>
  </si>
  <si>
    <t>31.4</t>
  </si>
  <si>
    <t>nonRTX</t>
  </si>
  <si>
    <t>8.4</t>
  </si>
  <si>
    <t>NR</t>
  </si>
  <si>
    <t>Higher incidence in RTX group</t>
  </si>
  <si>
    <t>F0056</t>
  </si>
  <si>
    <t>Hypogammaglobulinemia at 6 months (% of patients)</t>
  </si>
  <si>
    <t>More common in RTX group</t>
  </si>
  <si>
    <t>F0057</t>
  </si>
  <si>
    <t>Hypogammaglobulinemia at 2 years (% of patients)</t>
  </si>
  <si>
    <t>F0058</t>
  </si>
  <si>
    <t>Hypogammaglobulinemia at 5 years (% of patients)</t>
  </si>
  <si>
    <t>0.205</t>
  </si>
  <si>
    <t>No significant difference at 5 years</t>
  </si>
  <si>
    <t>F0059</t>
  </si>
  <si>
    <t>Most common site of infection</t>
  </si>
  <si>
    <t>RTX and nonRTX</t>
  </si>
  <si>
    <t>Bloodstream (bacteremia/CLABSI)</t>
  </si>
  <si>
    <t>Not reported</t>
  </si>
  <si>
    <t>Most infections were bloodstream</t>
  </si>
  <si>
    <t>Not assessed</t>
  </si>
  <si>
    <t>[fill]</t>
  </si>
  <si>
    <t>F0060</t>
  </si>
  <si>
    <t>Common pathogens in CPBI</t>
  </si>
  <si>
    <t>Coagulasenegative staph (n=10), Pseudomonas (n=7), Enterococcus (n=7)</t>
  </si>
  <si>
    <t>Main clinical pathogens</t>
  </si>
  <si>
    <t>F0061</t>
  </si>
  <si>
    <t>Hypogammaglobulinemia as predictor</t>
  </si>
  <si>
    <t>Multiple risk factors</t>
  </si>
  <si>
    <t>Recurrent CPBI or CPBIrelated death within 1 year</t>
  </si>
  <si>
    <t>Present</t>
  </si>
  <si>
    <t>Absent</t>
  </si>
  <si>
    <t>0.047</t>
  </si>
  <si>
    <t>Univariate</t>
  </si>
  <si>
    <t>Associated with higher risk</t>
  </si>
  <si>
    <t>F0062</t>
  </si>
  <si>
    <t>ITx as predictor</t>
  </si>
  <si>
    <t>0.027</t>
  </si>
  <si>
    <t>F0063</t>
  </si>
  <si>
    <t>Monomorphic PTLD as predictor</t>
  </si>
  <si>
    <t>0.024</t>
  </si>
  <si>
    <t>F0064</t>
  </si>
  <si>
    <t>Prechemo vs. Control</t>
  </si>
  <si>
    <t>Chemotherapy for ALL</t>
  </si>
  <si>
    <t>Beta diversity</t>
  </si>
  <si>
    <t>BrayCurtis beta diversity distance</t>
  </si>
  <si>
    <t>Prechemo</t>
  </si>
  <si>
    <t>Significantly higher</t>
  </si>
  <si>
    <t>Lower</t>
  </si>
  <si>
    <t>0.0023</t>
  </si>
  <si>
    <t>MannWhitney</t>
  </si>
  <si>
    <t>Prechemo ALL more dissimilar than controls</t>
  </si>
  <si>
    <t>F0065</t>
  </si>
  <si>
    <t>4.6</t>
  </si>
  <si>
    <t>Median 5.5</t>
  </si>
  <si>
    <t>0.073</t>
  </si>
  <si>
    <t>Trend to lower diversity in prechemo</t>
  </si>
  <si>
    <t>F0066</t>
  </si>
  <si>
    <t>Active chemotherapy</t>
  </si>
  <si>
    <t>Duringchemo vs. Control</t>
  </si>
  <si>
    <t>Duringchemo</t>
  </si>
  <si>
    <t>4.3</t>
  </si>
  <si>
    <t>Significantly lower diversity during chemo</t>
  </si>
  <si>
    <t>F0067</t>
  </si>
  <si>
    <t>Post-chemotherapy</t>
  </si>
  <si>
    <t>Postchemo vs. Control</t>
  </si>
  <si>
    <t>Postchemo</t>
  </si>
  <si>
    <t>0.156</t>
  </si>
  <si>
    <t>Alpha diversity similar postchemo and control</t>
  </si>
  <si>
    <t>F0068</t>
  </si>
  <si>
    <t>Median 1512</t>
  </si>
  <si>
    <t>0.053</t>
  </si>
  <si>
    <t>Trend to lower richness prechemo</t>
  </si>
  <si>
    <t>F0069</t>
  </si>
  <si>
    <t>0.026</t>
  </si>
  <si>
    <t>Significantly lower richness during chemo</t>
  </si>
  <si>
    <t>F0070</t>
  </si>
  <si>
    <t>0.779</t>
  </si>
  <si>
    <t>F0071</t>
  </si>
  <si>
    <t>Relative abundance: Bacteroidetes</t>
  </si>
  <si>
    <t>Median higher (all above upper quartile of control)</t>
  </si>
  <si>
    <t>KruskalWallis</t>
  </si>
  <si>
    <t>Prechemo enriched in Bacteroidetes</t>
  </si>
  <si>
    <t>F0072</t>
  </si>
  <si>
    <t>Prechemo vs. Postchemo</t>
  </si>
  <si>
    <t>Higher</t>
  </si>
  <si>
    <t>Decrease postchemo</t>
  </si>
  <si>
    <t>F0073</t>
  </si>
  <si>
    <t>Relative abundance: Firmicutes</t>
  </si>
  <si>
    <t>0.017</t>
  </si>
  <si>
    <t>Firmicutes lower prechemo</t>
  </si>
  <si>
    <t>F0074</t>
  </si>
  <si>
    <t>Increases postchemo</t>
  </si>
  <si>
    <t>F0075</t>
  </si>
  <si>
    <t>Relative abundance: Actinobacteria</t>
  </si>
  <si>
    <t>Actinobacteria lower prechemo</t>
  </si>
  <si>
    <t>F0076</t>
  </si>
  <si>
    <t>Relative abundance: Genus Bacteroides</t>
  </si>
  <si>
    <t>Enriched</t>
  </si>
  <si>
    <t>0.049</t>
  </si>
  <si>
    <t>DESeq2</t>
  </si>
  <si>
    <t>Higher prechemo, decreases during chemo</t>
  </si>
  <si>
    <t>FDR/BH-adjusted</t>
  </si>
  <si>
    <t>F0077</t>
  </si>
  <si>
    <t>Relative abundance: Atopobium, Bacteroides, Prevotella, Fusobacterium, Corynebacterium, Bifidobacterium</t>
  </si>
  <si>
    <t>5 OTUs lower (Atopobium, Bacteroides, Prevotella, Fusobacterium, Corynebacterium), 1 higher (Bifidobacterium)</t>
  </si>
  <si>
    <t>0.1</t>
  </si>
  <si>
    <t>Persistent differences at genus level postchemo</t>
  </si>
  <si>
    <t>F0078</t>
  </si>
  <si>
    <t>SI vs. SD (serum ASNase ↑ vs ↓)</t>
  </si>
  <si>
    <t>Crosssectional cohort</t>
  </si>
  <si>
    <t>PEGASNase therapy</t>
  </si>
  <si>
    <t>Microbial community betadiversity</t>
  </si>
  <si>
    <t>SI (serum ↑)</t>
  </si>
  <si>
    <t>Bacteroides, Streptococcus, Clostridium innocuum, Granulicatella dominated</t>
  </si>
  <si>
    <t>SD (serum ↓)</t>
  </si>
  <si>
    <t>EscherichiaShigella, Erysipelatoclostridium, Faecalibacterium, others</t>
  </si>
  <si>
    <t>0.108 (ASNase), R²=0.13 (age)</t>
  </si>
  <si>
    <t>0.016</t>
  </si>
  <si>
    <t>PERMANOVA (Unifrac)</t>
  </si>
  <si>
    <t>By age group</t>
  </si>
  <si>
    <t>Microbiota composition differs by both ASNase change and age</t>
  </si>
  <si>
    <t>F0079</t>
  </si>
  <si>
    <t>SI vs. SD</t>
  </si>
  <si>
    <t>Microbial ASNS gene abundance</t>
  </si>
  <si>
    <t>ASNS gene counts (metagenomic)</t>
  </si>
  <si>
    <t>Lower 155</t>
  </si>
  <si>
    <t>6–320</t>
  </si>
  <si>
    <t>Higher (mean 155, range 6–320)</t>
  </si>
  <si>
    <t>0.51</t>
  </si>
  <si>
    <t>0.004</t>
  </si>
  <si>
    <t>Linear regression</t>
  </si>
  <si>
    <t>Yes (in multivariate)</t>
  </si>
  <si>
    <t>Higher microbial ASNS → greater ASNase drop (negative correlation)</t>
  </si>
  <si>
    <t>F0080</t>
  </si>
  <si>
    <t>Microbial ansA gene abundance</t>
  </si>
  <si>
    <t>ansA gene counts (metagenomic)</t>
  </si>
  <si>
    <t>SI</t>
  </si>
  <si>
    <t>63–331</t>
  </si>
  <si>
    <t>SD</t>
  </si>
  <si>
    <t>Mean 165, range 63–331</t>
  </si>
  <si>
    <t>0.051</t>
  </si>
  <si>
    <t>ansA not significant alone, trend in full model</t>
  </si>
  <si>
    <t>F0081</t>
  </si>
  <si>
    <t>Microbial ansB gene abundance</t>
  </si>
  <si>
    <t>ansB gene counts (metagenomic)</t>
  </si>
  <si>
    <t>4–180</t>
  </si>
  <si>
    <t>Mean 65, range 4–180</t>
  </si>
  <si>
    <t>ansB not associated</t>
  </si>
  <si>
    <t>F0082</t>
  </si>
  <si>
    <t>SI vs. SD (by taxa)</t>
  </si>
  <si>
    <t>Microbial gene abundance by lineage</t>
  </si>
  <si>
    <t>Lineagespecific ASNS &amp; ansA/ansB</t>
  </si>
  <si>
    <t>Faecalibacterium (ASNS)</t>
  </si>
  <si>
    <t>0.42</t>
  </si>
  <si>
    <t>0.012</t>
  </si>
  <si>
    <t>Faecalibacterium ASNS negatively associated with ASNase change</t>
  </si>
  <si>
    <t>F0083</t>
  </si>
  <si>
    <t>PEG-asparaginase / antibiotics</t>
  </si>
  <si>
    <t>Weeks of Pegaspargase treatment</t>
  </si>
  <si>
    <t>Repeated measures (longitudinal)</t>
  </si>
  <si>
    <t>Pegaspargase chemotherapy</t>
  </si>
  <si>
    <t>Relative abundance of Rikenellaceae</t>
  </si>
  <si>
    <t>Baseline/wk1</t>
  </si>
  <si>
    <t>wk2, wk3/4</t>
  </si>
  <si>
    <t>Decreased</t>
  </si>
  <si>
    <t>Kruskal–Wallis, Dunn’s posthoc</t>
  </si>
  <si>
    <t>Yes (multiple testing)</t>
  </si>
  <si>
    <t>Yes (antibiotic use, week)</t>
  </si>
  <si>
    <t>Decreased over time</t>
  </si>
  <si>
    <t>F0084</t>
  </si>
  <si>
    <t>Relative abundance of Clostridiaceae</t>
  </si>
  <si>
    <t>F0085</t>
  </si>
  <si>
    <t>Relative abundance of Desulfovibrionaceae</t>
  </si>
  <si>
    <t>F0086</t>
  </si>
  <si>
    <t>Relative abundance of Ruminococcaceae</t>
  </si>
  <si>
    <t>wk3/4, ab+</t>
  </si>
  <si>
    <t>baseline/ab</t>
  </si>
  <si>
    <t>Kruskal–Wallis, Mann–Whitney U</t>
  </si>
  <si>
    <t>Yes (antibiotic)</t>
  </si>
  <si>
    <t>Decreased at wk3/4, also lower with antibiotics</t>
  </si>
  <si>
    <t>F0087</t>
  </si>
  <si>
    <t>Relative abundance of Lachnospiraceae</t>
  </si>
  <si>
    <t>ab+ vs ab</t>
  </si>
  <si>
    <t>Lower with antibiotics</t>
  </si>
  <si>
    <t>ab</t>
  </si>
  <si>
    <t>Mann–Whitney U</t>
  </si>
  <si>
    <t>F0088</t>
  </si>
  <si>
    <t>Relative abundance of Erysipelotrichaceae</t>
  </si>
  <si>
    <t>F0089</t>
  </si>
  <si>
    <t>Relative abundance of Enterobacteriaceae</t>
  </si>
  <si>
    <t>Increased</t>
  </si>
  <si>
    <t>Increased at later time points</t>
  </si>
  <si>
    <t>F0090</t>
  </si>
  <si>
    <t>Over weeks of pegaspargase</t>
  </si>
  <si>
    <t>Repeated measures</t>
  </si>
  <si>
    <t>Pegaspargase</t>
  </si>
  <si>
    <t>K06989</t>
  </si>
  <si>
    <t>nadX; aspartate dehydrogenase</t>
  </si>
  <si>
    <t>Nicotinate/Nicotinamide</t>
  </si>
  <si>
    <t>KO abundance</t>
  </si>
  <si>
    <t>Decrease</t>
  </si>
  <si>
    <t>PT/wk1 &gt; wk2/wk34/wk5+</t>
  </si>
  <si>
    <t>p=0.00014; pBH=0.01</t>
  </si>
  <si>
    <t>0.00014</t>
  </si>
  <si>
    <t>Kruskal–Wallis + Dunn</t>
  </si>
  <si>
    <t>F0091</t>
  </si>
  <si>
    <t>Over weeks</t>
  </si>
  <si>
    <t>K01425</t>
  </si>
  <si>
    <t>glsA; glutaminase</t>
  </si>
  <si>
    <t>Arg biosyn, Ala/Asp/Glu met</t>
  </si>
  <si>
    <t>PT/wk1 &gt; wk34/wk5+</t>
  </si>
  <si>
    <t>p=0.00031; pBH=0.01</t>
  </si>
  <si>
    <t>0.00031</t>
  </si>
  <si>
    <t>KW+Dunn</t>
  </si>
  <si>
    <t>F0092</t>
  </si>
  <si>
    <t>K01665</t>
  </si>
  <si>
    <t>pabB; paraaminobenzoate synthase</t>
  </si>
  <si>
    <t>Folate biosynthesis</t>
  </si>
  <si>
    <t>p=0.00101; pBH=0.02</t>
  </si>
  <si>
    <t>0.00101</t>
  </si>
  <si>
    <t>F0093</t>
  </si>
  <si>
    <t>K12524</t>
  </si>
  <si>
    <t>thrA; aspartokinase/homoserine dehydrogenase 1</t>
  </si>
  <si>
    <t>Cys/Met met, Lys/Gly/Ser/Thr met</t>
  </si>
  <si>
    <t>wk1 &gt; wk34/wk5+</t>
  </si>
  <si>
    <t>p=0.00228; pBH=0.02</t>
  </si>
  <si>
    <t>0.00228</t>
  </si>
  <si>
    <t>F0094</t>
  </si>
  <si>
    <t>K13821</t>
  </si>
  <si>
    <t>putA; delta 1pyrroline5carboxylate dehydrogenase</t>
  </si>
  <si>
    <t>Ala/Asp/Glu met</t>
  </si>
  <si>
    <t>PT/wk1 &gt; wk34/wk5</t>
  </si>
  <si>
    <t>p=0.00394; pBH=0.03</t>
  </si>
  <si>
    <t>0.00394</t>
  </si>
  <si>
    <t>F0095</t>
  </si>
  <si>
    <t>K00819</t>
  </si>
  <si>
    <t>rocD; ornithine–oxoacid transaminase</t>
  </si>
  <si>
    <t>Cys/Met met, Arg/Pro met</t>
  </si>
  <si>
    <t>PT/wk1 &gt; wk34</t>
  </si>
  <si>
    <t>p=0.01081; pBH=0.06</t>
  </si>
  <si>
    <t>0.01081</t>
  </si>
  <si>
    <t>F0096</t>
  </si>
  <si>
    <t>K00603</t>
  </si>
  <si>
    <t>fctD; glutamate formiminotransferase</t>
  </si>
  <si>
    <t>One carbon pool by folate</t>
  </si>
  <si>
    <t>p=0.01124; pBH=0.06</t>
  </si>
  <si>
    <t>0.01124</t>
  </si>
  <si>
    <t>F0097</t>
  </si>
  <si>
    <t>K09758</t>
  </si>
  <si>
    <t>asdA; aspartate 4decarboxylase</t>
  </si>
  <si>
    <t>Ala/Asp/Glu met, Cys/Met met</t>
  </si>
  <si>
    <t>p=0.02345; pBH=0.09</t>
  </si>
  <si>
    <t>0.02345</t>
  </si>
  <si>
    <t>F0098</t>
  </si>
  <si>
    <t>K13051</t>
  </si>
  <si>
    <t>iaaA; Lasparaginase / betaaspartylpeptidase</t>
  </si>
  <si>
    <t>wk1 &gt; wk34</t>
  </si>
  <si>
    <t>p=0.025; pBH=0.10</t>
  </si>
  <si>
    <t>0.025</t>
  </si>
  <si>
    <t>F0099</t>
  </si>
  <si>
    <t>K01580</t>
  </si>
  <si>
    <t>gadA; glutamate decarboxylase</t>
  </si>
  <si>
    <t>p=0.03576; pBH=0.12</t>
  </si>
  <si>
    <t>0.03576</t>
  </si>
  <si>
    <t>F0100</t>
  </si>
  <si>
    <t>K01886</t>
  </si>
  <si>
    <t>glnS; glutaminyltRNA synthetase</t>
  </si>
  <si>
    <t>AminoacyltRNA biosyn</t>
  </si>
  <si>
    <t>p=0.03983; pBH=0.12</t>
  </si>
  <si>
    <t>0.03983</t>
  </si>
  <si>
    <t>F0101</t>
  </si>
  <si>
    <t>K02232</t>
  </si>
  <si>
    <t>cobQ; adenosylcobyric acid synthase</t>
  </si>
  <si>
    <t>Porphyrin &amp; Chlorophyll met</t>
  </si>
  <si>
    <t>wk34 &gt; wk5+</t>
  </si>
  <si>
    <t>p=0.0403; pBH=0.12</t>
  </si>
  <si>
    <t>0.0403</t>
  </si>
  <si>
    <t>F0102</t>
  </si>
  <si>
    <t>K00826</t>
  </si>
  <si>
    <t>ilvE; branchedchain amino acid aminotransferase</t>
  </si>
  <si>
    <t>Val/Leu/Ile biosyn, Cys/Met met</t>
  </si>
  <si>
    <t>Increase</t>
  </si>
  <si>
    <t>PT/wk1 &lt; wk2/wk34/wk5+</t>
  </si>
  <si>
    <t>p=0.00052; pBH=0.02</t>
  </si>
  <si>
    <t>0.00052</t>
  </si>
  <si>
    <t>F0103</t>
  </si>
  <si>
    <t>K01937</t>
  </si>
  <si>
    <t>pyrG; CTP synthase</t>
  </si>
  <si>
    <t>Pyrimidine met</t>
  </si>
  <si>
    <t>p=0.00125; pBH=0.02</t>
  </si>
  <si>
    <t>0.00125</t>
  </si>
  <si>
    <t>F0104</t>
  </si>
  <si>
    <t>K01952</t>
  </si>
  <si>
    <t>purL; phosphoribosylformylglycinamidine synthase</t>
  </si>
  <si>
    <t>Purine met</t>
  </si>
  <si>
    <t>p=0.00189; pBH=0.02</t>
  </si>
  <si>
    <t>0.00189</t>
  </si>
  <si>
    <t>F0105</t>
  </si>
  <si>
    <t>K00609</t>
  </si>
  <si>
    <t>pyrB; aspartate carbamoyltransferase</t>
  </si>
  <si>
    <t>Ala/Asp/Glu met, Pyrimidine met</t>
  </si>
  <si>
    <t>PT/wk1 &lt; wk2/wk5+/wk34/wk5+</t>
  </si>
  <si>
    <t>p=0.00196; pBH=0.02</t>
  </si>
  <si>
    <t>0.00196</t>
  </si>
  <si>
    <t>F0106</t>
  </si>
  <si>
    <t>K02434</t>
  </si>
  <si>
    <t>gatB; aspartyltRNA(Asn)/glutamyltRNA(Gln) amidotransferase B</t>
  </si>
  <si>
    <t>PT/wk1 &lt; wk34/wk5+</t>
  </si>
  <si>
    <t>p=0.00211; pBH=0.02</t>
  </si>
  <si>
    <t>0.00211</t>
  </si>
  <si>
    <t>F0107</t>
  </si>
  <si>
    <t>K01923</t>
  </si>
  <si>
    <t>purC; phosphoribosylaminoimidazolesuccinocarboxamide synthase</t>
  </si>
  <si>
    <t>p=0.00219; pBH=0.02</t>
  </si>
  <si>
    <t>0.00219</t>
  </si>
  <si>
    <t>F0108</t>
  </si>
  <si>
    <t>K01956</t>
  </si>
  <si>
    <t>carA; carbamoylphosphate synthetase</t>
  </si>
  <si>
    <t>p=0.00372; pBH=0.03</t>
  </si>
  <si>
    <t>0.00372</t>
  </si>
  <si>
    <t>F0109</t>
  </si>
  <si>
    <t>K02433</t>
  </si>
  <si>
    <t>gatA; aspartyltRNA(Asn)/glutamyltRNA(Gln) amidotransferase A</t>
  </si>
  <si>
    <t>p=0.00401; pBH=0.03</t>
  </si>
  <si>
    <t>0.00401</t>
  </si>
  <si>
    <t>F0110</t>
  </si>
  <si>
    <t>K00928</t>
  </si>
  <si>
    <t>lysC; aspartate kinase</t>
  </si>
  <si>
    <t>Lys biosyn, Cys/Met met</t>
  </si>
  <si>
    <t>p=0.00524; pBH=0.03</t>
  </si>
  <si>
    <t>0.00524</t>
  </si>
  <si>
    <t>F0111</t>
  </si>
  <si>
    <t>K14260</t>
  </si>
  <si>
    <t>alaA; alaninesynthesizing transaminase</t>
  </si>
  <si>
    <t>Ala/Asp/Glu met, Arg biosyn</t>
  </si>
  <si>
    <t>p=0.0069; pBH=0.04</t>
  </si>
  <si>
    <t>0.0069</t>
  </si>
  <si>
    <t>F0112</t>
  </si>
  <si>
    <t>K01951</t>
  </si>
  <si>
    <t>guaA; GMP synthase</t>
  </si>
  <si>
    <t>p=0.01111; pBH=0.06</t>
  </si>
  <si>
    <t>0.01111</t>
  </si>
  <si>
    <t>F0113</t>
  </si>
  <si>
    <t>K00820</t>
  </si>
  <si>
    <t>glmS; glucosamine6phosphate synthetase</t>
  </si>
  <si>
    <t>p=0.01279; pBH=0.06</t>
  </si>
  <si>
    <t>0.01279</t>
  </si>
  <si>
    <t>F0114</t>
  </si>
  <si>
    <t>K01939</t>
  </si>
  <si>
    <t>purA; adenylosuccinate synthase</t>
  </si>
  <si>
    <t>Ala/Asp/Glu met, Purine met</t>
  </si>
  <si>
    <t>p=0.01344; pBH=0.06</t>
  </si>
  <si>
    <t>0.01344</t>
  </si>
  <si>
    <t>F0115</t>
  </si>
  <si>
    <t>K00841</t>
  </si>
  <si>
    <t>patA; aminotransferase</t>
  </si>
  <si>
    <t>Lys biosyn</t>
  </si>
  <si>
    <t>wk34 &lt; wk5+</t>
  </si>
  <si>
    <t>p=0.01544; pBH=0.07</t>
  </si>
  <si>
    <t>0.01544</t>
  </si>
  <si>
    <t>F0116</t>
  </si>
  <si>
    <t>K01893</t>
  </si>
  <si>
    <t>asnS; asparaginyltRNA synthetase</t>
  </si>
  <si>
    <t>p=0.01671; pBH=0.07</t>
  </si>
  <si>
    <t>0.01671</t>
  </si>
  <si>
    <t>F0117</t>
  </si>
  <si>
    <t>K09698</t>
  </si>
  <si>
    <t>gltX; nondiscriminating glutamyltRNA synthetase</t>
  </si>
  <si>
    <t>p=0.02989; pBH=0.11</t>
  </si>
  <si>
    <t>0.02989</t>
  </si>
  <si>
    <t>F0118</t>
  </si>
  <si>
    <t>K01940</t>
  </si>
  <si>
    <t>argG; argininosuccinate synthase</t>
  </si>
  <si>
    <t>p=0.03038; pBH=0.11</t>
  </si>
  <si>
    <t>0.03038</t>
  </si>
  <si>
    <t>F0119</t>
  </si>
  <si>
    <t>K01915</t>
  </si>
  <si>
    <t>glnA; glutamine synthetase</t>
  </si>
  <si>
    <t>p=0.03749; pBH=0.12</t>
  </si>
  <si>
    <t>0.03749</t>
  </si>
  <si>
    <t>F0120</t>
  </si>
  <si>
    <t>K02435</t>
  </si>
  <si>
    <t>gatC; aspartyltRNA(Asn)/glutamyltRNA(Gln) amidotransferase C</t>
  </si>
  <si>
    <t>p=0.03939; pBH=0.12</t>
  </si>
  <si>
    <t>0.03939</t>
  </si>
  <si>
    <t>F0121</t>
  </si>
  <si>
    <t>Neutropenic enterocolitis - non-core</t>
  </si>
  <si>
    <t>Gramnegative vs. Grampositive prevalence</t>
  </si>
  <si>
    <t>Descriptive (crosssectional)</t>
  </si>
  <si>
    <t>None (observational)</t>
  </si>
  <si>
    <t>Prevalence of Gramnegative vs. Grampositive bacteria in stool cultures</t>
  </si>
  <si>
    <t>Gramnegative</t>
  </si>
  <si>
    <t>Grampositive</t>
  </si>
  <si>
    <t>Descriptive statistics</t>
  </si>
  <si>
    <t>Yes (by age and culture type)</t>
  </si>
  <si>
    <t>Gramnegative bacteria were most frequent, but Grampositive and others also found</t>
  </si>
  <si>
    <t>F0122</t>
  </si>
  <si>
    <t>Pure vs. mixed cultures</t>
  </si>
  <si>
    <t>Type of stool culture (pure vs. mixed)</t>
  </si>
  <si>
    <t>Pure culture</t>
  </si>
  <si>
    <t>Mixed culture</t>
  </si>
  <si>
    <t>Yes (by age: pure culture associated with age &gt;6, mixed with &lt;6)</t>
  </si>
  <si>
    <t>Mixed cultures more frequent in children &lt;6 years; pure cultures more frequent in children &gt;6 years</t>
  </si>
  <si>
    <t>F0123</t>
  </si>
  <si>
    <t>Presence of Candida, Cryptosporidium, acidfast bacilli</t>
  </si>
  <si>
    <t>Prevalence of opportunistic organisms</t>
  </si>
  <si>
    <t>Candida</t>
  </si>
  <si>
    <t>Cryptosporidium</t>
  </si>
  <si>
    <t>Nonbacterial pathogens also present</t>
  </si>
  <si>
    <t>F0124</t>
  </si>
  <si>
    <t>Pneumonia complication</t>
  </si>
  <si>
    <t>Pneumonia vs. no pneumonia</t>
  </si>
  <si>
    <t>Case–control</t>
  </si>
  <si>
    <t>Gut microbiota diversity (Shannon, Simpson, Chao, ACE)</t>
  </si>
  <si>
    <t>αdiversity</t>
  </si>
  <si>
    <t>Pneumonia group</t>
  </si>
  <si>
    <t>Higher diversity</t>
  </si>
  <si>
    <t>Control group</t>
  </si>
  <si>
    <t>Lower diversity</t>
  </si>
  <si>
    <t>Not specified</t>
  </si>
  <si>
    <t>Significant</t>
  </si>
  <si>
    <t>Wilcoxon ranksum test</t>
  </si>
  <si>
    <t>Increased alphadiversity in pneumonia cases</t>
  </si>
  <si>
    <t>F0125</t>
  </si>
  <si>
    <t>Gut microbiota composition (Bray–Curtis)</t>
  </si>
  <si>
    <t>βdiversity</t>
  </si>
  <si>
    <t>Distinct community structure</t>
  </si>
  <si>
    <t>PERMANOVA</t>
  </si>
  <si>
    <t>p = 0.001</t>
  </si>
  <si>
    <t>Clear clustering by case/control status</t>
  </si>
  <si>
    <t>F0126</t>
  </si>
  <si>
    <t>Relative abundance of E. malodoratus</t>
  </si>
  <si>
    <t>Taxonomic biomarker (species)</t>
  </si>
  <si>
    <t>↑ abundance</t>
  </si>
  <si>
    <t>↓ abundance</t>
  </si>
  <si>
    <t>LDA (LEfSe)</t>
  </si>
  <si>
    <t>Not stated</t>
  </si>
  <si>
    <t>LEfSe</t>
  </si>
  <si>
    <t>Higher in pneumonia group</t>
  </si>
  <si>
    <t>F0127</t>
  </si>
  <si>
    <t>Relative abundance of O. anthropi</t>
  </si>
  <si>
    <t>F0128</t>
  </si>
  <si>
    <t>Relative abundance of A. cardiffensis</t>
  </si>
  <si>
    <t>F0129</t>
  </si>
  <si>
    <t>Relative abundance of B. altitudinis</t>
  </si>
  <si>
    <t>Higher in control group</t>
  </si>
  <si>
    <t>F0130</t>
  </si>
  <si>
    <t>Relative abundance of B. tsurumiense</t>
  </si>
  <si>
    <t>F0131</t>
  </si>
  <si>
    <t>KEGG pathway: bacterial secretion system</t>
  </si>
  <si>
    <t>Functional prediction</t>
  </si>
  <si>
    <t>↑ pathway enrichment</t>
  </si>
  <si>
    <t>↓ enrichment</t>
  </si>
  <si>
    <t>Not quantified</t>
  </si>
  <si>
    <t>PICRUSt + KEGG</t>
  </si>
  <si>
    <t>Enriched in pneumoniaassociated taxa</t>
  </si>
  <si>
    <t>F0132</t>
  </si>
  <si>
    <t>Microbiota species profile</t>
  </si>
  <si>
    <t>Prediction</t>
  </si>
  <si>
    <t>Predictive classification (AUC)</t>
  </si>
  <si>
    <t>0.773</t>
  </si>
  <si>
    <t>AUC = 0.773</t>
  </si>
  <si>
    <t>Random forest + ROC</t>
  </si>
  <si>
    <t>Predictive of pneumonia occurrence</t>
  </si>
  <si>
    <t>F0133</t>
  </si>
  <si>
    <t>Antibiotic prophylaxis / resistome</t>
  </si>
  <si>
    <t>Pre vs Post Induction (same group)</t>
  </si>
  <si>
    <t>Longitudinal (withingroup)</t>
  </si>
  <si>
    <t>Trimethoprimsulfamethoxazole prophylaxis</t>
  </si>
  <si>
    <t>Resistome</t>
  </si>
  <si>
    <t>Relative abundance of resistance genes (TMPSMX)</t>
  </si>
  <si>
    <t>Baseline</t>
  </si>
  <si>
    <t>Postinduction</t>
  </si>
  <si>
    <t>Fold change 5.9</t>
  </si>
  <si>
    <t>5.9x increase</t>
  </si>
  <si>
    <t>3.6–9.6</t>
  </si>
  <si>
    <t>0.0001</t>
  </si>
  <si>
    <t>GLMM (negative binomial)</t>
  </si>
  <si>
    <t>Yes (baseline sequencing depth)</t>
  </si>
  <si>
    <t>None reported</t>
  </si>
  <si>
    <t>Yes (significant increase in resistance gene abundance)</t>
  </si>
  <si>
    <t>F0134</t>
  </si>
  <si>
    <t>Levofloxacin vs No Prophylaxis</t>
  </si>
  <si>
    <t>Betweengroup (crosssectional)</t>
  </si>
  <si>
    <t>Levofloxacin prophylaxis</t>
  </si>
  <si>
    <t>Topoisomerase point mutations (fluoroquinolone resistance)</t>
  </si>
  <si>
    <t>Levofloxacin</t>
  </si>
  <si>
    <t>10.4% postinduction</t>
  </si>
  <si>
    <t>No prophylaxis</t>
  </si>
  <si>
    <t>Difference in prevalence</t>
  </si>
  <si>
    <t>3.2–25.4 vs 0–22.5</t>
  </si>
  <si>
    <t>Binomial GLMM (probit link)</t>
  </si>
  <si>
    <t>Yes (baseline mutation prevalence)</t>
  </si>
  <si>
    <t>Yes (postinduction vs baseline)</t>
  </si>
  <si>
    <t>Yes (mutation prevalence increased only in levofloxacin group)</t>
  </si>
  <si>
    <t>F0135</t>
  </si>
  <si>
    <t>Pre vs Post Induction (all participants)</t>
  </si>
  <si>
    <t>Chemotherapy and antibiotic exposure</t>
  </si>
  <si>
    <t>Relative abundance of aminoglycoside resistance genes</t>
  </si>
  <si>
    <t>Preinduction</t>
  </si>
  <si>
    <t>Mean fold change 10.5</t>
  </si>
  <si>
    <t>10.5x increase</t>
  </si>
  <si>
    <t>3.2–34.8</t>
  </si>
  <si>
    <t>GLMM</t>
  </si>
  <si>
    <t>Not clearly stated</t>
  </si>
  <si>
    <t>No subgroup by prophylaxis</t>
  </si>
  <si>
    <t>Yes (significant increase regardless of levofloxacin)</t>
  </si>
  <si>
    <t>F0136</t>
  </si>
  <si>
    <t>Relative abundance of multidrug resistance genes</t>
  </si>
  <si>
    <t>Mean fold change 8.6</t>
  </si>
  <si>
    <t>8.6x increase</t>
  </si>
  <si>
    <t>5.8–12.6</t>
  </si>
  <si>
    <t>Yes (significant increase)</t>
  </si>
  <si>
    <t>F0137</t>
  </si>
  <si>
    <t>Levofloxacin vs No Prophylaxis (clinical)</t>
  </si>
  <si>
    <t>Betweengroup</t>
  </si>
  <si>
    <t>Clostridioides difficile infection (clinical outcome)</t>
  </si>
  <si>
    <t>3/18 cases (17%)</t>
  </si>
  <si>
    <t>Levofloxacin group</t>
  </si>
  <si>
    <t>0/31 cases (0%)</t>
  </si>
  <si>
    <t>Absolute diff: −17%</t>
  </si>
  <si>
    <t>Not applicable</t>
  </si>
  <si>
    <t>0.044</t>
  </si>
  <si>
    <t>Fisher's Exact Test</t>
  </si>
  <si>
    <t>Yes (protective association of levofloxacin against C. difficile infection)</t>
  </si>
  <si>
    <t>F0138</t>
  </si>
  <si>
    <t>IC vs NIC</t>
  </si>
  <si>
    <t>Alpha diversity analysis (Wilcoxon)</t>
  </si>
  <si>
    <t>Infectious complication status</t>
  </si>
  <si>
    <t>Faith’s Phylogenetic Diversity</t>
  </si>
  <si>
    <t>NIC</t>
  </si>
  <si>
    <t>IC</t>
  </si>
  <si>
    <t>Wilcoxon rank sum test</t>
  </si>
  <si>
    <t>Partially (logistic regression)</t>
  </si>
  <si>
    <t>Yes (baseline, pre and postinfection)</t>
  </si>
  <si>
    <t>Lower diversity associated with IC</t>
  </si>
  <si>
    <t>F0139</t>
  </si>
  <si>
    <t>PreIC vs NIC</t>
  </si>
  <si>
    <t>Beta diversity (PERMANOVA)</t>
  </si>
  <si>
    <t>Infection status</t>
  </si>
  <si>
    <t>Microbial community structure (UniFrac)</t>
  </si>
  <si>
    <t>Distinct cluster</t>
  </si>
  <si>
    <t>PreIC</t>
  </si>
  <si>
    <t>Partially overlapping</t>
  </si>
  <si>
    <t>R2 = 0.109</t>
  </si>
  <si>
    <t>Partially (multivariate model)</t>
  </si>
  <si>
    <t>Yes (pre/post IC)</t>
  </si>
  <si>
    <t>Different/mixed</t>
  </si>
  <si>
    <t>Significant difference in beta diversity</t>
  </si>
  <si>
    <t>F0140</t>
  </si>
  <si>
    <t>Machine learning classification</t>
  </si>
  <si>
    <t>Infectious complication</t>
  </si>
  <si>
    <t>Sample classification accuracy</t>
  </si>
  <si>
    <t>High classification accuracy</t>
  </si>
  <si>
    <t>84.1% accuracy</t>
  </si>
  <si>
    <t>Random forest</t>
  </si>
  <si>
    <t>Yes (metadata included)</t>
  </si>
  <si>
    <t>Yes (vancomycin exposure)</t>
  </si>
  <si>
    <t>Species profiles were top classifiers</t>
  </si>
  <si>
    <t>F0141</t>
  </si>
  <si>
    <t>OW/OB vs normal weight</t>
  </si>
  <si>
    <t>Alpha diversity (longitudinal)</t>
  </si>
  <si>
    <t>Weight status</t>
  </si>
  <si>
    <t>Shannon index diversity</t>
  </si>
  <si>
    <t>OW/OB</t>
  </si>
  <si>
    <t>Nonsignificant change</t>
  </si>
  <si>
    <t>Normal weight</t>
  </si>
  <si>
    <t>Decreased diversity over time</t>
  </si>
  <si>
    <t>CLME (constrained linear mixed effects), KruskalWallis</t>
  </si>
  <si>
    <t>Yes (by timepoint)</t>
  </si>
  <si>
    <t>OW/OB maintained alpha diversity; normal weight declined</t>
  </si>
  <si>
    <t>F0142</t>
  </si>
  <si>
    <t>Community structure (PCoA, BrayCurtis)</t>
  </si>
  <si>
    <t>Significant shifts over time</t>
  </si>
  <si>
    <t>R² = 0.035</t>
  </si>
  <si>
    <t>Yes (by timepoint and weight group)</t>
  </si>
  <si>
    <t>Bacterial structure shifted across treatment for both groups</t>
  </si>
  <si>
    <t>F0143</t>
  </si>
  <si>
    <t>Differential abundance</t>
  </si>
  <si>
    <t>Bacterial taxa abundance</t>
  </si>
  <si>
    <t>↑ K. pneumoniae, E. coli, ↓ Akkermansia spp.</t>
  </si>
  <si>
    <t>↑ Akkermansia, Veillonella, Haemophilus</t>
  </si>
  <si>
    <t>DESeq2, AMCOMBC</t>
  </si>
  <si>
    <t>Yes (multivariate tested)</t>
  </si>
  <si>
    <t>Yes (sensitivity analysis)</t>
  </si>
  <si>
    <t>OW/OB linked with obesogenic taxa</t>
  </si>
  <si>
    <t>F0144</t>
  </si>
  <si>
    <t>Functional pathway analysis</t>
  </si>
  <si>
    <t>Metabolic pathway enrichment</t>
  </si>
  <si>
    <t>↑ purine, sugar, cofactor biosynthesis pathways</t>
  </si>
  <si>
    <t>↑ cell wall, lipid, nutrient metabolism pathways</t>
  </si>
  <si>
    <t>KruskalWallis, Spearman</t>
  </si>
  <si>
    <t>Yes (14 pathways tested)</t>
  </si>
  <si>
    <t>OW/OB group had obesogenic functional profile</t>
  </si>
  <si>
    <t>F0145</t>
  </si>
  <si>
    <t>HSCT</t>
  </si>
  <si>
    <t>ALL postHSCT vs. Controls</t>
  </si>
  <si>
    <t>Alpha diversity (Shannon index)</t>
  </si>
  <si>
    <t>ALL postHSCT</t>
  </si>
  <si>
    <t>Reduced diversity</t>
  </si>
  <si>
    <t>Healthy Controls</t>
  </si>
  <si>
    <t>Wilcoxon Rank Sum</t>
  </si>
  <si>
    <t>Yes (timepoints, exercise volume)</t>
  </si>
  <si>
    <t>Reduced alpha diversity postHSCT</t>
  </si>
  <si>
    <t>F0146</t>
  </si>
  <si>
    <t>Alpha diversity (Simpson index)</t>
  </si>
  <si>
    <t>Lower evenness</t>
  </si>
  <si>
    <t>Higher evenness</t>
  </si>
  <si>
    <t>Lower diversity linked to HSCT</t>
  </si>
  <si>
    <t>F0147</t>
  </si>
  <si>
    <t>Beta diversity (community structure)</t>
  </si>
  <si>
    <t>Significantly different microbiota</t>
  </si>
  <si>
    <t>Reference PERMANOVA centroid</t>
  </si>
  <si>
    <t>Community structure differs postHSCT</t>
  </si>
  <si>
    <t>F0148</t>
  </si>
  <si>
    <t>Within ALL group</t>
  </si>
  <si>
    <t>Longitudinal</t>
  </si>
  <si>
    <t>Exercise sessions</t>
  </si>
  <si>
    <t>Shannon Index on Day +90</t>
  </si>
  <si>
    <t>Higher exercise volume</t>
  </si>
  <si>
    <t>Higher alpha diversity</t>
  </si>
  <si>
    <t>Lower exercise volume</t>
  </si>
  <si>
    <t>Lower alpha diversity</t>
  </si>
  <si>
    <t>0.794</t>
  </si>
  <si>
    <t>More exercise associated with higher diversity</t>
  </si>
  <si>
    <t>F0149</t>
  </si>
  <si>
    <t>Simpson Index on Day +90</t>
  </si>
  <si>
    <t>Lower Simpson index (↑ diversity)</t>
  </si>
  <si>
    <t>Higher Simpson index</t>
  </si>
  <si>
    <t>0.772</t>
  </si>
  <si>
    <t>0.009</t>
  </si>
  <si>
    <t>Negative correlation with Simpson index</t>
  </si>
  <si>
    <t>F0150</t>
  </si>
  <si>
    <t>Exercise time (min)</t>
  </si>
  <si>
    <t>More minutes</t>
  </si>
  <si>
    <t>Fewer minutes</t>
  </si>
  <si>
    <t>0.763</t>
  </si>
  <si>
    <t>Exercise duration positively associated with diversity</t>
  </si>
  <si>
    <t>F0151</t>
  </si>
  <si>
    <t>CRP on Day +28</t>
  </si>
  <si>
    <t>Abundance of Butyricoccus spp.</t>
  </si>
  <si>
    <t>High CRP</t>
  </si>
  <si>
    <t>Lower Butyricoccus spp.</t>
  </si>
  <si>
    <t>Low CRP</t>
  </si>
  <si>
    <t>Higher abundance</t>
  </si>
  <si>
    <t>0.541</t>
  </si>
  <si>
    <t>Inflammation negatively linked to beneficial bacteria</t>
  </si>
  <si>
    <t>F0152</t>
  </si>
  <si>
    <t>Abundance of Akkermansia spp.</t>
  </si>
  <si>
    <t>Lower Akkermansia spp.</t>
  </si>
  <si>
    <t>0.738</t>
  </si>
  <si>
    <t>Negative inflammatory association</t>
  </si>
  <si>
    <t>F0153</t>
  </si>
  <si>
    <t>Abundance of Enterococcus spp.</t>
  </si>
  <si>
    <t>Higher Enterococcus spp.</t>
  </si>
  <si>
    <t>Lower Enterococcus spp.</t>
  </si>
  <si>
    <t>0.511</t>
  </si>
  <si>
    <t>Pathogenic dominance under inflammation</t>
  </si>
  <si>
    <t>F0154</t>
  </si>
  <si>
    <t>Oral diagnosis</t>
  </si>
  <si>
    <t>ALL vs Healthy</t>
  </si>
  <si>
    <t>Leukemia status</t>
  </si>
  <si>
    <t>OTUs</t>
  </si>
  <si>
    <t>ALL (n=13)</t>
  </si>
  <si>
    <t>1778 ± 874</t>
  </si>
  <si>
    <t>±874</t>
  </si>
  <si>
    <t>Control (n=12)</t>
  </si>
  <si>
    <t>2824 ± 647</t>
  </si>
  <si>
    <t>±647</t>
  </si>
  <si>
    <t>Lower in ALL</t>
  </si>
  <si>
    <t>MannWhitney U</t>
  </si>
  <si>
    <t>Reduced richness</t>
  </si>
  <si>
    <t>F0155</t>
  </si>
  <si>
    <t>Chao1 richness estimator</t>
  </si>
  <si>
    <t>4738.27 ± 2049.02</t>
  </si>
  <si>
    <t>±2049.02</t>
  </si>
  <si>
    <t>7215.11 ± 1505.13</t>
  </si>
  <si>
    <t>±1505.13</t>
  </si>
  <si>
    <t>0.003</t>
  </si>
  <si>
    <t>F0156</t>
  </si>
  <si>
    <t>ACE richness estimator</t>
  </si>
  <si>
    <t>8305.50 ± 3336.40</t>
  </si>
  <si>
    <t>±3336.40</t>
  </si>
  <si>
    <t>12455.82 ± 2400.76</t>
  </si>
  <si>
    <t>±2400.76</t>
  </si>
  <si>
    <t>F0157</t>
  </si>
  <si>
    <t>Simpson diversity index</t>
  </si>
  <si>
    <t>0.0393 ± 0.0246</t>
  </si>
  <si>
    <t>±0.0246</t>
  </si>
  <si>
    <t>0.0168 ± 0.0082</t>
  </si>
  <si>
    <t>±0.0082</t>
  </si>
  <si>
    <t>Higher in ALL</t>
  </si>
  <si>
    <t>0.019</t>
  </si>
  <si>
    <t>F0158</t>
  </si>
  <si>
    <t>Firmicutes (Phylum)</t>
  </si>
  <si>
    <t>↑ (not exact %)</t>
  </si>
  <si>
    <t>↓ (not exact %)</t>
  </si>
  <si>
    <t>Metastats</t>
  </si>
  <si>
    <t>Leukemiaenriched taxon</t>
  </si>
  <si>
    <t>F0159</t>
  </si>
  <si>
    <t>Fusobacteria (Phylum)</t>
  </si>
  <si>
    <t>Leukemiadepleted taxon</t>
  </si>
  <si>
    <t>F0160</t>
  </si>
  <si>
    <t>Abiotrophia (Genus)</t>
  </si>
  <si>
    <t>Enriched in ALL</t>
  </si>
  <si>
    <t>F0161</t>
  </si>
  <si>
    <t>Granulicatella (Genus)</t>
  </si>
  <si>
    <t>0.007</t>
  </si>
  <si>
    <t>F0162</t>
  </si>
  <si>
    <t>Veillonella (Genus)</t>
  </si>
  <si>
    <t>F0163</t>
  </si>
  <si>
    <t>Comamonas (Genus)</t>
  </si>
  <si>
    <t>Depleted in ALL</t>
  </si>
  <si>
    <t>F0164</t>
  </si>
  <si>
    <t>Leptotrichia (Genus)</t>
  </si>
  <si>
    <t>F0165</t>
  </si>
  <si>
    <t>ALL vs Controls</t>
  </si>
  <si>
    <t>Cross-sectional</t>
  </si>
  <si>
    <t>ALL status</t>
  </si>
  <si>
    <t>Chao index (α-diversity)</t>
  </si>
  <si>
    <t>&gt;0.05 (non-significant)</t>
  </si>
  <si>
    <t>Wilcoxon or similar (not explicitly stated)</t>
  </si>
  <si>
    <t>No significant difference in Chao index between ALL and controls</t>
  </si>
  <si>
    <t>F0166</t>
  </si>
  <si>
    <t>ACE index (α-diversity)</t>
  </si>
  <si>
    <t>No significant difference in ACE index between ALL and controls</t>
  </si>
  <si>
    <t>F0167</t>
  </si>
  <si>
    <t>Shannon index (α-diversity)</t>
  </si>
  <si>
    <t>No significant difference in Shannon diversity</t>
  </si>
  <si>
    <t>F0168</t>
  </si>
  <si>
    <t>Simpson index (α-diversity)</t>
  </si>
  <si>
    <t>No significant difference in Simpson index</t>
  </si>
  <si>
    <t>F0169</t>
  </si>
  <si>
    <t>Bacteroides clarus relative abundance</t>
  </si>
  <si>
    <t>Higher than controls (exact % NR)</t>
  </si>
  <si>
    <t>NA</t>
  </si>
  <si>
    <t>Lower than ALL (exact % NR)</t>
  </si>
  <si>
    <t>&lt;0.05 (LEfSe)</t>
  </si>
  <si>
    <t>LEfSe (LDA score, multiple-testing corrected)</t>
  </si>
  <si>
    <t>F0170</t>
  </si>
  <si>
    <t>Roseburia faecis relative abundance</t>
  </si>
  <si>
    <t>Lower than controls</t>
  </si>
  <si>
    <t>Higher than ALL</t>
  </si>
  <si>
    <t>F0171</t>
  </si>
  <si>
    <t>Edwardsiella tarda relative abundance</t>
  </si>
  <si>
    <t>LEfSe + qPCR</t>
  </si>
  <si>
    <t>F0172</t>
  </si>
  <si>
    <t>Fusobacterium naviforme relative abundance</t>
  </si>
  <si>
    <t>F0173</t>
  </si>
  <si>
    <t>Edwardsiella tarda abundance</t>
  </si>
  <si>
    <t>Plasma IL-10 level</t>
  </si>
  <si>
    <t>ALL (one group)</t>
  </si>
  <si>
    <t>Spearman rho &gt;0</t>
  </si>
  <si>
    <t>rho &gt;0</t>
  </si>
  <si>
    <t>&lt;0.05</t>
  </si>
  <si>
    <t>Spearman correlation</t>
  </si>
  <si>
    <t>Higher Edwardsiella tarda associated with higher IL-10</t>
  </si>
  <si>
    <t>F0174</t>
  </si>
  <si>
    <t>Prevotella maculosa abundance</t>
  </si>
  <si>
    <t>Higher Prevotella maculosa associated with higher IL-10</t>
  </si>
  <si>
    <t>F0175</t>
  </si>
  <si>
    <t>Early induction baseline</t>
  </si>
  <si>
    <t>ALL vs Siblings at baseline</t>
  </si>
  <si>
    <t>ALL vs sibling status</t>
  </si>
  <si>
    <t>Observed species (α-diversity)</t>
  </si>
  <si>
    <t>ALL at Day 1</t>
  </si>
  <si>
    <t>Median 94 (IQR 65–134)</t>
  </si>
  <si>
    <t>Siblings at baseline</t>
  </si>
  <si>
    <t>Median 135 (IQR 113–174)</t>
  </si>
  <si>
    <t>Wilcoxon rank-sum</t>
  </si>
  <si>
    <t>Lower richness in patients</t>
  </si>
  <si>
    <t>F0176</t>
  </si>
  <si>
    <t>Median 4.5 (IQR 3.9–5.3)</t>
  </si>
  <si>
    <t>Median 5.7 (IQR 5.1–6.2)</t>
  </si>
  <si>
    <t>Lower Shannon diversity in patients</t>
  </si>
  <si>
    <t>F0177</t>
  </si>
  <si>
    <t>Active induction</t>
  </si>
  <si>
    <t>Within ALL during induction</t>
  </si>
  <si>
    <t>Induction day (time)</t>
  </si>
  <si>
    <t>Shannon index from Day 1 to Day 22</t>
  </si>
  <si>
    <t>Shannon decreases from Day 1 to Days 8–22 (values NR)</t>
  </si>
  <si>
    <t>&lt;0.05 (overall trend)</t>
  </si>
  <si>
    <t>Non-parametric longitudinal tests</t>
  </si>
  <si>
    <t>Shannon diversity declined after 1 week and remained reduced until Day 22</t>
  </si>
  <si>
    <t>F0178</t>
  </si>
  <si>
    <t>Same-day Shannon index</t>
  </si>
  <si>
    <t>Plasma CRP (Day 15)</t>
  </si>
  <si>
    <t>Correlation rho = −0.33</t>
  </si>
  <si>
    <t>−0.33</t>
  </si>
  <si>
    <t>Lower Shannon associated with higher CRP on Day 15</t>
  </si>
  <si>
    <t>F0179</t>
  </si>
  <si>
    <t>Plasma CRP (Day 22)</t>
  </si>
  <si>
    <t>rho = −0.49</t>
  </si>
  <si>
    <t>−0.49</t>
  </si>
  <si>
    <t>Lower Shannon associated with higher CRP on Day 22</t>
  </si>
  <si>
    <t>F0180</t>
  </si>
  <si>
    <t>Plasma CRP (Day 29)</t>
  </si>
  <si>
    <t>rho ≈ −0.33 to −0.49 (reported as significant)</t>
  </si>
  <si>
    <t>&lt;0</t>
  </si>
  <si>
    <t>Lower Shannon associated with higher CRP on Day 29</t>
  </si>
  <si>
    <t>F0181</t>
  </si>
  <si>
    <t>Plasma citrulline (Day 15)</t>
  </si>
  <si>
    <t>rho ≈ 0.32–0.34</t>
  </si>
  <si>
    <t>&gt;0</t>
  </si>
  <si>
    <t>Higher Shannon associated with higher citrulline (borderline)</t>
  </si>
  <si>
    <t>F0182</t>
  </si>
  <si>
    <t>Plasma citrulline (Day 29)</t>
  </si>
  <si>
    <t>Higher Shannon associated with higher citrulline (borderline significant)</t>
  </si>
  <si>
    <t>F0183</t>
  </si>
  <si>
    <t>Unclassified Enterococcus spp. abundance</t>
  </si>
  <si>
    <t>rho = 0.42</t>
  </si>
  <si>
    <t>Higher Enterococcus associated with higher CRP</t>
  </si>
  <si>
    <t>F0184</t>
  </si>
  <si>
    <t>rho = 0.49</t>
  </si>
  <si>
    <t>Strong positive association between Enterococcus and CRP</t>
  </si>
  <si>
    <t>F0185</t>
  </si>
  <si>
    <t>Unclassified Lachnospiraceae spp. abundance</t>
  </si>
  <si>
    <t>Plasma citrulline (Day 8)</t>
  </si>
  <si>
    <t>rho = 0.48</t>
  </si>
  <si>
    <t>Higher Lachnospiraceae associated with higher citrulline</t>
  </si>
  <si>
    <t>F0186</t>
  </si>
  <si>
    <t>rho = 0.62</t>
  </si>
  <si>
    <t>&lt;0.001</t>
  </si>
  <si>
    <t>Strong positive association between Lachnospiraceae and citrulline</t>
  </si>
  <si>
    <t>F0187</t>
  </si>
  <si>
    <t>rho = −0.37</t>
  </si>
  <si>
    <t>−0.37</t>
  </si>
  <si>
    <t>Higher Lachnospiraceae associated with lower CRP</t>
  </si>
  <si>
    <t>F0188</t>
  </si>
  <si>
    <t>ALL vs Siblings at diagnosis</t>
  </si>
  <si>
    <t>ALL at diagnosis</t>
  </si>
  <si>
    <t>Sibling controls</t>
  </si>
  <si>
    <t>Wilcoxon rank-sum (with BH correction)</t>
  </si>
  <si>
    <t>Lower Shannon diversity in ALL vs siblings</t>
  </si>
  <si>
    <t>F0189</t>
  </si>
  <si>
    <t>Chao1 index (α-diversity)</t>
  </si>
  <si>
    <t>Lower richness (Chao1) in ALL vs siblings</t>
  </si>
  <si>
    <t>F0190</t>
  </si>
  <si>
    <t>Within ALL over time</t>
  </si>
  <si>
    <t>Time since chemotherapy initiation</t>
  </si>
  <si>
    <t>Shannon index (diagnosis vs PC-1M)</t>
  </si>
  <si>
    <t>Decrease from diagnosis to 1 month (PC-1M)</t>
  </si>
  <si>
    <t>Wilcoxon paired / longitudinal test</t>
  </si>
  <si>
    <t>Shannon decreases after first induction chemotherapy</t>
  </si>
  <si>
    <t>F0191</t>
  </si>
  <si>
    <t>Chao1 index (diagnosis vs PC-1M)</t>
  </si>
  <si>
    <t>Chao1 decreases after induction chemotherapy</t>
  </si>
  <si>
    <t>F0192</t>
  </si>
  <si>
    <t>ALL vs Siblings over 1 year</t>
  </si>
  <si>
    <t>Longitudinal case–control</t>
  </si>
  <si>
    <t>ALL vs siblings across time</t>
  </si>
  <si>
    <t>Chao1 index (PC-1M to PC-12M vs HC)</t>
  </si>
  <si>
    <t>ALL (PC-1M–PC-12M)</t>
  </si>
  <si>
    <t>Chao1 remains significantly lower than HC at all timepoints</t>
  </si>
  <si>
    <t>&lt;0.05 for all timepoints</t>
  </si>
  <si>
    <t>Wilcoxon / longitudinal comparisons</t>
  </si>
  <si>
    <t>Persistent lower richness in ALL during first treatment year</t>
  </si>
  <si>
    <t>F0193</t>
  </si>
  <si>
    <t>Faecalibacterium relative abundance</t>
  </si>
  <si>
    <t>Lower than in controls</t>
  </si>
  <si>
    <t>log2 fold change &lt;0</t>
  </si>
  <si>
    <t>&lt;0.05 (DESeq2, BH-corrected)</t>
  </si>
  <si>
    <t>DESeq2 differential abundance</t>
  </si>
  <si>
    <t>Yes (sequencing depth)</t>
  </si>
  <si>
    <t>Faecalibacterium depleted in ALL at diagnosis</t>
  </si>
  <si>
    <t>F0194</t>
  </si>
  <si>
    <t>ALL vs Siblings at diagnosis and over time</t>
  </si>
  <si>
    <t>ALL vs siblings; time</t>
  </si>
  <si>
    <t>Alistipes relative abundance</t>
  </si>
  <si>
    <t>Decreased during chemotherapy (−3.7 to −4 log2 fold at PC-1M/2M; −2.6 at PC-3M)</t>
  </si>
  <si>
    <t>Higher baseline; less change over time</t>
  </si>
  <si>
    <t>Negative log2 fold changes</t>
  </si>
  <si>
    <t>&lt;0.05 (DESeq2)</t>
  </si>
  <si>
    <t>Yes (timepoints)</t>
  </si>
  <si>
    <t>Alistipes markedly decreased during chemotherapy</t>
  </si>
  <si>
    <t>F0195</t>
  </si>
  <si>
    <t>ALL over time vs HCs</t>
  </si>
  <si>
    <t>Lachnoclostridium relative abundance</t>
  </si>
  <si>
    <t>More abundant at PC-1M and PC-12M vs HCs; increases over time</t>
  </si>
  <si>
    <t>Lower abundance</t>
  </si>
  <si>
    <t>Positive log2 fold change (e.g. +3.1 at PC-12M)</t>
  </si>
  <si>
    <t>&lt;0.05 (DESeq2, mixed model)</t>
  </si>
  <si>
    <t>DESeq2 + mixed-effects</t>
  </si>
  <si>
    <t>Enriched in ALL during and after chemotherapy</t>
  </si>
  <si>
    <t>F0196</t>
  </si>
  <si>
    <t>Time; antibiotics usage</t>
  </si>
  <si>
    <t>Ruminococcus abundance</t>
  </si>
  <si>
    <t>Increases over first year (p&lt;0.05)</t>
  </si>
  <si>
    <t>Positive time effect</t>
  </si>
  <si>
    <t>&lt;0.05 (mixed model)</t>
  </si>
  <si>
    <t>Mixed-effects model (nlme)</t>
  </si>
  <si>
    <t>Yes (antibiotic usage in some models)</t>
  </si>
  <si>
    <t>Yes (with/without antibiotics)</t>
  </si>
  <si>
    <t>Ruminococcus increases over time in ALL</t>
  </si>
  <si>
    <t>F0197</t>
  </si>
  <si>
    <t>&lt;0.001 (reported as P&lt;0.00)</t>
  </si>
  <si>
    <t>t-test (continuous variables as mean±SD)</t>
  </si>
  <si>
    <t>Lower Chao index in ALL</t>
  </si>
  <si>
    <t>F0198</t>
  </si>
  <si>
    <t>t-test</t>
  </si>
  <si>
    <t>Lower ACE index in ALL</t>
  </si>
  <si>
    <t>F0199</t>
  </si>
  <si>
    <t>Lower Shannon diversity in ALL</t>
  </si>
  <si>
    <t>F0200</t>
  </si>
  <si>
    <t>Higher Simpson index in ALL (lower evenness)</t>
  </si>
  <si>
    <t>F0201</t>
  </si>
  <si>
    <t>Remission comparison</t>
  </si>
  <si>
    <t>Within ALL pre- vs post-chemo</t>
  </si>
  <si>
    <t>Longitudinal (short-term)</t>
  </si>
  <si>
    <t>Chemotherapy (pre vs remission)</t>
  </si>
  <si>
    <t>α-diversity indices (Chao, ACE, Shannon, Simpson)</t>
  </si>
  <si>
    <t>ALL pre-chemo vs clinical remission</t>
  </si>
  <si>
    <t>&gt;0.05</t>
  </si>
  <si>
    <t>t-test / paired comparison</t>
  </si>
  <si>
    <t>No significant α-diversity change between ALL pre- and post-chemotherapy</t>
  </si>
  <si>
    <t>F0202</t>
  </si>
  <si>
    <t>Enterococcus relative abundance (%)</t>
  </si>
  <si>
    <t>2.5×10⁻⁵ (FDR 0.00082)</t>
  </si>
  <si>
    <t>Rank-sum with FDR correction</t>
  </si>
  <si>
    <t>Massively enriched in ALL</t>
  </si>
  <si>
    <t>F0203</t>
  </si>
  <si>
    <t>Bifidobacterium relative abundance (%)</t>
  </si>
  <si>
    <t>0.000353 (FDR 0.006492)</t>
  </si>
  <si>
    <t>Rank-sum + FDR</t>
  </si>
  <si>
    <t>Lower Bifidobacterium in ALL</t>
  </si>
  <si>
    <t>F0204</t>
  </si>
  <si>
    <t>Blautia relative abundance (%)</t>
  </si>
  <si>
    <t>4.0×10⁻⁶ (FDR 0.000198)</t>
  </si>
  <si>
    <t>Markedly lower Blautia in ALL</t>
  </si>
  <si>
    <t>F0205</t>
  </si>
  <si>
    <t>Faecalibacterium relative abundance (%)</t>
  </si>
  <si>
    <t>0.00226 (FDR 0.020287)</t>
  </si>
  <si>
    <t>Lower Faecalibacterium in ALL</t>
  </si>
  <si>
    <t>F0206</t>
  </si>
  <si>
    <t>Ruminococcus relative abundance (%)</t>
  </si>
  <si>
    <t>0.000406 (FDR 0.006492)</t>
  </si>
  <si>
    <t>Lower Ruminococcus in ALL</t>
  </si>
  <si>
    <t>F0207</t>
  </si>
  <si>
    <t>Veillonella relative abundance (%)</t>
  </si>
  <si>
    <t>0.009397 (FDR 0.035781)</t>
  </si>
  <si>
    <t>Higher Veillonella in ALL</t>
  </si>
  <si>
    <t>F0208</t>
  </si>
  <si>
    <t>Bacteroides relative abundance (%)</t>
  </si>
  <si>
    <t>0.02934 (FDR 0.08068, not significant after FDR)</t>
  </si>
  <si>
    <t>Trend to lower Bacteroides in ALL, not FDR-significant</t>
  </si>
  <si>
    <t>F0209</t>
  </si>
  <si>
    <t>ALL vs HC</t>
  </si>
  <si>
    <t>ALL status (at diagnosis; pre-chemo)</t>
  </si>
  <si>
    <t>Alpha diversity (e.g., Shannon / Inverse Simpson)</t>
  </si>
  <si>
    <t>HC</t>
  </si>
  <si>
    <t>ns</t>
  </si>
  <si>
    <t>t-test or Wilcoxon (per normality; not specified for this endpoint)</t>
  </si>
  <si>
    <t>Yes (B-ALL vs T-ALL)</t>
  </si>
  <si>
    <t>No difference ALL vs HC</t>
  </si>
  <si>
    <t>F0210</t>
  </si>
  <si>
    <t>Beta diversity (Weighted/Unweighted UniFrac)</t>
  </si>
  <si>
    <t>PERMANOVA (adonis; 9999 permutations)</t>
  </si>
  <si>
    <t>Yes (age-related clustering noted; B-ALL vs T-ALL tested)</t>
  </si>
  <si>
    <t>Distinct community structure in ALL vs HC</t>
  </si>
  <si>
    <t>F0211</t>
  </si>
  <si>
    <t>Enterococcus faecium relative abundance</t>
  </si>
  <si>
    <t>FDR&lt;0.05</t>
  </si>
  <si>
    <t>Wilcoxon + BH FDR</t>
  </si>
  <si>
    <t>Increased in ALL</t>
  </si>
  <si>
    <t>F0212</t>
  </si>
  <si>
    <t>Rothia dentocariosa relative abundance</t>
  </si>
  <si>
    <t>F0213</t>
  </si>
  <si>
    <t>Lautropia mirabilis relative abundance</t>
  </si>
  <si>
    <t>F0214</t>
  </si>
  <si>
    <t>HC vs ALL</t>
  </si>
  <si>
    <t>Anaerostipes hadrus relative abundance</t>
  </si>
  <si>
    <t>Decreased in ALL (enriched in HC)</t>
  </si>
  <si>
    <t>F0215</t>
  </si>
  <si>
    <t>Blautia wexlerae relative abundance</t>
  </si>
  <si>
    <t>Decreased in ALL (enriched_</t>
  </si>
  <si>
    <t>F0216</t>
  </si>
  <si>
    <t>ALL vs healthy controls</t>
  </si>
  <si>
    <t>Intestinibacter bartlettii relative abundance</t>
  </si>
  <si>
    <t>Healthy controls</t>
  </si>
  <si>
    <t>Wilcoxon with BH FDR</t>
  </si>
  <si>
    <t>Results and Figure 1B</t>
  </si>
  <si>
    <t>F0217</t>
  </si>
  <si>
    <t>Opportunistic species aggregate</t>
  </si>
  <si>
    <t>Opportunistic and oral-associated species enriched in ALL</t>
  </si>
  <si>
    <t>F0218</t>
  </si>
  <si>
    <t>Protein/amino-acid catabolism, ethanolamine and secondary bile-acid pathways</t>
  </si>
  <si>
    <t>Functional pathways enriched in ALL</t>
  </si>
  <si>
    <t>Results and Figure 2</t>
  </si>
  <si>
    <t>F0219</t>
  </si>
  <si>
    <t>Carbohydrate, folate, nucleotide and core energy pathways</t>
  </si>
  <si>
    <t>Health-control pathways depleted in ALL</t>
  </si>
  <si>
    <t>F0220</t>
  </si>
  <si>
    <t>Recent antibiotics vs none within ALL</t>
  </si>
  <si>
    <t>Subgroup analysis</t>
  </si>
  <si>
    <t>Antibiotics in previous 30 days</t>
  </si>
  <si>
    <t>Species-level relative abundance</t>
  </si>
  <si>
    <t>Antibiotic exposed</t>
  </si>
  <si>
    <t>Not exposed</t>
  </si>
  <si>
    <t>FDR&gt;0.05</t>
  </si>
  <si>
    <t>FDR-corrected Wilcoxon</t>
  </si>
  <si>
    <t>No species-level differences by recent antibiotic exposure</t>
  </si>
  <si>
    <t>Results</t>
  </si>
  <si>
    <t>F0221</t>
  </si>
  <si>
    <t>B-ALL vs T-ALL</t>
  </si>
  <si>
    <t>Subtype analysis</t>
  </si>
  <si>
    <t>ALL immunophenotype</t>
  </si>
  <si>
    <t>Species-level composition</t>
  </si>
  <si>
    <t>B-ALL</t>
  </si>
  <si>
    <t>Minimal differences</t>
  </si>
  <si>
    <t>T-ALL</t>
  </si>
  <si>
    <t>p&gt;0.05</t>
  </si>
  <si>
    <t>Wilcoxon / PERMANOVA</t>
  </si>
  <si>
    <t>Minimal taxonomic differences by immunophenotype</t>
  </si>
  <si>
    <t>F0222</t>
  </si>
  <si>
    <t>Differential abundance / classifier</t>
  </si>
  <si>
    <t>Faecalibacterium prausnitzii</t>
  </si>
  <si>
    <t>Reported as important classifier</t>
  </si>
  <si>
    <t>Random forest and differential profiling</t>
  </si>
  <si>
    <t>Clinical exposures included in models</t>
  </si>
  <si>
    <t>F. prausnitzii depleted in infection-associated samples</t>
  </si>
  <si>
    <t>F0223</t>
  </si>
  <si>
    <t>Baseline prediction</t>
  </si>
  <si>
    <t>Baseline microbiome</t>
  </si>
  <si>
    <t>Overall infectious complications</t>
  </si>
  <si>
    <t>Limited/no overall predictive signal</t>
  </si>
  <si>
    <t>Outcome</t>
  </si>
  <si>
    <t>Not significant overall</t>
  </si>
  <si>
    <t>Clinical variables considered</t>
  </si>
  <si>
    <t>Baseline diversity did not generally predict infectious complications</t>
  </si>
  <si>
    <t>Results; Limited signal was described for bloodstream infection only.</t>
  </si>
  <si>
    <t>F0224</t>
  </si>
  <si>
    <t>Bacteremia vs no bacteremia at Day 22</t>
  </si>
  <si>
    <t>Case comparison</t>
  </si>
  <si>
    <t>Bacteremia during induction</t>
  </si>
  <si>
    <t>Bacteremia</t>
  </si>
  <si>
    <t>No bacteremia</t>
  </si>
  <si>
    <t>Wilcoxon</t>
  </si>
  <si>
    <t>Antibiotics explored</t>
  </si>
  <si>
    <t>Lower Day-22 Shannon in children with bacteremia</t>
  </si>
  <si>
    <t>harvest_id</t>
  </si>
  <si>
    <t>panel</t>
  </si>
  <si>
    <t>study_context_label</t>
  </si>
  <si>
    <t>comparison</t>
  </si>
  <si>
    <t>outcome_short</t>
  </si>
  <si>
    <t>heatmap_feature</t>
  </si>
  <si>
    <t>sample_n</t>
  </si>
  <si>
    <t>adjustment</t>
  </si>
  <si>
    <t>key_statistic</t>
  </si>
  <si>
    <t>supporting_detail</t>
  </si>
  <si>
    <t>core_default</t>
  </si>
  <si>
    <t>source_location</t>
  </si>
  <si>
    <t>H001</t>
  </si>
  <si>
    <t>Diagnosis</t>
  </si>
  <si>
    <t>RQ1: Alpha diversity at diagnosis</t>
  </si>
  <si>
    <t>Chua_2020 - Diagnosis / pre-treatment</t>
  </si>
  <si>
    <t>ALL vs healthy</t>
  </si>
  <si>
    <t>Shannon and Chao1 lower trends</t>
  </si>
  <si>
    <t>Shannon p=0.073; Chao1 p=0.053</t>
  </si>
  <si>
    <t>Unadjusted</t>
  </si>
  <si>
    <t>Medians lower in ALL</t>
  </si>
  <si>
    <t>Trend only; recent antibiotic exposure is a major confounder.</t>
  </si>
  <si>
    <t>H002</t>
  </si>
  <si>
    <t>RQ2: Community composition at diagnosis</t>
  </si>
  <si>
    <t>Bray-Curtis community difference</t>
  </si>
  <si>
    <t>p=0.0023</t>
  </si>
  <si>
    <t>Bray-Curtis</t>
  </si>
  <si>
    <t>Greater inter-individual variability and separation before chemotherapy.</t>
  </si>
  <si>
    <t>H003</t>
  </si>
  <si>
    <t>RQ2: Taxonomic signature at diagnosis</t>
  </si>
  <si>
    <t>Bacteroidetes/Bacteroides enriched</t>
  </si>
  <si>
    <t>Bacteroides</t>
  </si>
  <si>
    <t>p=0.001 / 0.049</t>
  </si>
  <si>
    <t>DESeq2 for genus</t>
  </si>
  <si>
    <t>Higher at diagnosis</t>
  </si>
  <si>
    <t>Bacteroides decreased after chemotherapy.</t>
  </si>
  <si>
    <t>H004</t>
  </si>
  <si>
    <t>Firmicutes and Actinobacteria depleted</t>
  </si>
  <si>
    <t>SCFA / commensals</t>
  </si>
  <si>
    <t>p=0.017</t>
  </si>
  <si>
    <t>Lower phyla</t>
  </si>
  <si>
    <t>Broad phylum-level depletion; not equivalent to a specific SCFA taxon.</t>
  </si>
  <si>
    <t>H005</t>
  </si>
  <si>
    <t>Gao_2020 - Diagnosis / pre-treatment</t>
  </si>
  <si>
    <t>Shannon diversity lower</t>
  </si>
  <si>
    <t>p&lt;0.001</t>
  </si>
  <si>
    <t>Mean 1.42 vs 2.63</t>
  </si>
  <si>
    <t>Direct mean and SD available.</t>
  </si>
  <si>
    <t>H006</t>
  </si>
  <si>
    <t>RQ1: Richness at diagnosis</t>
  </si>
  <si>
    <t>Chao1 and ACE richness lower</t>
  </si>
  <si>
    <t>Richness</t>
  </si>
  <si>
    <t>Chao1 74.01 vs 121.70</t>
  </si>
  <si>
    <t>H007</t>
  </si>
  <si>
    <t>PCoA separation</t>
  </si>
  <si>
    <t>Not tested</t>
  </si>
  <si>
    <t>No formal PERMANOVA reported</t>
  </si>
  <si>
    <t>PC1 24.76%</t>
  </si>
  <si>
    <t>Visual separation should not be treated as an inferential effect estimate.</t>
  </si>
  <si>
    <t>H008</t>
  </si>
  <si>
    <t>SCFA/health-associated genera depleted</t>
  </si>
  <si>
    <t>FDR&lt;=0.05</t>
  </si>
  <si>
    <t>FDR</t>
  </si>
  <si>
    <t>Bifidobacterium, Blautia, Faecalibacterium, Ruminococcus lower</t>
  </si>
  <si>
    <t>Supports loss of health-associated commensals.</t>
  </si>
  <si>
    <t>H009</t>
  </si>
  <si>
    <t>Enterococcus and Veillonella enriched</t>
  </si>
  <si>
    <t>Pathobionts / opportunists</t>
  </si>
  <si>
    <t>Enterococcus 39.34% vs 0.02%</t>
  </si>
  <si>
    <t>Enterococcus was the dominant genus in ALL.</t>
  </si>
  <si>
    <t>H010</t>
  </si>
  <si>
    <t>Liu_2020_Diagnosis - Diagnosis / pre-treatment</t>
  </si>
  <si>
    <t>Alpha-diversity indices did not differ</t>
  </si>
  <si>
    <t>Chao, ACE, Shannon, Simpson NS</t>
  </si>
  <si>
    <t>No numerical group summaries for SMD.</t>
  </si>
  <si>
    <t>H011</t>
  </si>
  <si>
    <t>Community structure differed</t>
  </si>
  <si>
    <t>p&lt;0.05</t>
  </si>
  <si>
    <t>PCoA/NMDS separation</t>
  </si>
  <si>
    <t>Large diagnosis cohort but quantitative microarray platform.</t>
  </si>
  <si>
    <t>H012</t>
  </si>
  <si>
    <t>Roseburia and other control-enriched species depleted</t>
  </si>
  <si>
    <t>LEfSe p&lt;0.05</t>
  </si>
  <si>
    <t>Roseburia faecis lower</t>
  </si>
  <si>
    <t>Species-level findings require platform-aware interpretation.</t>
  </si>
  <si>
    <t>H013</t>
  </si>
  <si>
    <t>Bacteroides clarus enriched</t>
  </si>
  <si>
    <t>B. clarus higher</t>
  </si>
  <si>
    <t>Taxon-specific rather than genus-wide inference.</t>
  </si>
  <si>
    <t>H014</t>
  </si>
  <si>
    <t>RQ2: Diagnostic discrimination</t>
  </si>
  <si>
    <t>Species classifier discriminated ALL</t>
  </si>
  <si>
    <t>Internal model</t>
  </si>
  <si>
    <t>AUC=0.843 (95% CI 0.744-0.942)</t>
  </si>
  <si>
    <t>No independent validation; do not present as a clinical diagnostic test.</t>
  </si>
  <si>
    <t>H015</t>
  </si>
  <si>
    <t>Rajagopala_2020 - Diagnosis / pre-treatment</t>
  </si>
  <si>
    <t>ALL vs siblings</t>
  </si>
  <si>
    <t>p=0.026</t>
  </si>
  <si>
    <t>Digitised matched dataset 2</t>
  </si>
  <si>
    <t>Figure-derived values used only in exploratory meta-analysis.</t>
  </si>
  <si>
    <t>H016</t>
  </si>
  <si>
    <t>Chao1 richness lower</t>
  </si>
  <si>
    <t>p=0.001</t>
  </si>
  <si>
    <t>H017</t>
  </si>
  <si>
    <t>Faecalibacterium depleted</t>
  </si>
  <si>
    <t>BH-adjusted p&lt;0.05</t>
  </si>
  <si>
    <t>DESeq2/BH</t>
  </si>
  <si>
    <t>Lower at diagnosis</t>
  </si>
  <si>
    <t>Independent cohort; matched-pair correlation unavailable.</t>
  </si>
  <si>
    <t>H018</t>
  </si>
  <si>
    <t>Muratore_2025 - Diagnosis / pre-treatment</t>
  </si>
  <si>
    <t>ALL vs public healthy controls</t>
  </si>
  <si>
    <t>Alpha diversity did not differ</t>
  </si>
  <si>
    <t>Unadjusted metric tests</t>
  </si>
  <si>
    <t>Large control set but heterogeneous public cohorts.</t>
  </si>
  <si>
    <t>H019</t>
  </si>
  <si>
    <t>Weighted and unweighted UniFrac differed</t>
  </si>
  <si>
    <t>PERMANOVA p=0.001</t>
  </si>
  <si>
    <t>Clear compositional separation</t>
  </si>
  <si>
    <t>Age-related clustering was also present among controls.</t>
  </si>
  <si>
    <t>H020</t>
  </si>
  <si>
    <t>SCFA producers depleted</t>
  </si>
  <si>
    <t>BH FDR</t>
  </si>
  <si>
    <t>Anaerostipes, Blautia, Intestinibacter lower</t>
  </si>
  <si>
    <t>High-resolution species-level evidence.</t>
  </si>
  <si>
    <t>H021</t>
  </si>
  <si>
    <t>Enterococcus, oral commensals and opportunists enriched</t>
  </si>
  <si>
    <t>E. faecium, Rothia, Lautropia higher</t>
  </si>
  <si>
    <t>Supports a dysbiotic compositional signature before chemotherapy.</t>
  </si>
  <si>
    <t>H022</t>
  </si>
  <si>
    <t>RQ3: Functional signature at diagnosis</t>
  </si>
  <si>
    <t>Amino-acid, ethanolamine and bile-acid pathways enriched</t>
  </si>
  <si>
    <t>Functional pathways</t>
  </si>
  <si>
    <t>Protein/amino-acid catabolism higher</t>
  </si>
  <si>
    <t>No direct metabolomic confirmation.</t>
  </si>
  <si>
    <t>H023</t>
  </si>
  <si>
    <t>Carbohydrate, folate and core anabolic pathways depleted</t>
  </si>
  <si>
    <t>HC pathways higher</t>
  </si>
  <si>
    <t>Complements the taxonomic SCFA-producer signal.</t>
  </si>
  <si>
    <t>H024</t>
  </si>
  <si>
    <t>RQ2: Recent antibiotic confounding</t>
  </si>
  <si>
    <t>No species-level difference by recent antibiotics</t>
  </si>
  <si>
    <t>Antibiotic effect</t>
  </si>
  <si>
    <t>8 exposed vs 22 unexposed</t>
  </si>
  <si>
    <t>Does not exclude residual confounding or earlier exposures.</t>
  </si>
  <si>
    <t>H025</t>
  </si>
  <si>
    <t>RQ7: Oral microbiota at diagnosis</t>
  </si>
  <si>
    <t>Wang_2014 - Oral diagnosis</t>
  </si>
  <si>
    <t>Oral richness and diversity lower</t>
  </si>
  <si>
    <t>p=0.003-0.019</t>
  </si>
  <si>
    <t>OTUs, Chao1, ACE lower; Simpson higher</t>
  </si>
  <si>
    <t>Do not combine with gut diversity.</t>
  </si>
  <si>
    <t>H026</t>
  </si>
  <si>
    <t>Oral community clustered separately</t>
  </si>
  <si>
    <t>Reported significant</t>
  </si>
  <si>
    <t>Distinct oral community</t>
  </si>
  <si>
    <t>Separate anatomical-site evidence.</t>
  </si>
  <si>
    <t>H027</t>
  </si>
  <si>
    <t>Oral taxonomic imbalance</t>
  </si>
  <si>
    <t>p&lt;=0.012</t>
  </si>
  <si>
    <t>Firmicutes, Abiotrophia, Granulicatella, Veillonella higher; Fusobacteria, Comamonas, Leptotrichia lower</t>
  </si>
  <si>
    <t>Mixed taxonomic direction.</t>
  </si>
  <si>
    <t>H028</t>
  </si>
  <si>
    <t>Treatment trajectory</t>
  </si>
  <si>
    <t>RQ4: Microbiota during chemotherapy</t>
  </si>
  <si>
    <t>Chua_2020 - Active chemotherapy</t>
  </si>
  <si>
    <t>During chemotherapy vs healthy</t>
  </si>
  <si>
    <t>Shannon and Chao1 lower during chemotherapy</t>
  </si>
  <si>
    <t>p=0.002 / 0.026</t>
  </si>
  <si>
    <t>Medians 4.3 and 945</t>
  </si>
  <si>
    <t>Repeated samples; not independent observations.</t>
  </si>
  <si>
    <t>H029</t>
  </si>
  <si>
    <t>RQ4: Recovery after chemotherapy</t>
  </si>
  <si>
    <t>Chua_2020 - Post-chemotherapy</t>
  </si>
  <si>
    <t>Post-chemotherapy vs healthy</t>
  </si>
  <si>
    <t>Alpha diversity approximated controls after cessation</t>
  </si>
  <si>
    <t>Recovery</t>
  </si>
  <si>
    <t>p=0.156 / 0.779</t>
  </si>
  <si>
    <t>Shannon/Chao1 NS</t>
  </si>
  <si>
    <t>Composition remained marginally different despite alpha recovery.</t>
  </si>
  <si>
    <t>H030</t>
  </si>
  <si>
    <t>RQ4: Community trajectory</t>
  </si>
  <si>
    <t>Chua_2020 - Treatment trajectory</t>
  </si>
  <si>
    <t>Pre-, during- and post-chemotherapy</t>
  </si>
  <si>
    <t>Community composition shifted and partially restituted</t>
  </si>
  <si>
    <t>Reported significant contrasts</t>
  </si>
  <si>
    <t>Temporal community change</t>
  </si>
  <si>
    <t>Do not reduce the trajectory to one independent effect size.</t>
  </si>
  <si>
    <t>H031</t>
  </si>
  <si>
    <t>RQ4: Early induction diversity</t>
  </si>
  <si>
    <t>DePietri_2020 - Early induction baseline</t>
  </si>
  <si>
    <t>Day 1 ALL vs siblings</t>
  </si>
  <si>
    <t>Shannon lower at Day 1</t>
  </si>
  <si>
    <t>p=0.002</t>
  </si>
  <si>
    <t>Median 4.5 vs 5.7</t>
  </si>
  <si>
    <t>Day-1 window includes early treatment in many participants.</t>
  </si>
  <si>
    <t>H032</t>
  </si>
  <si>
    <t>DePietri_2020 - Active induction</t>
  </si>
  <si>
    <t>Days 1 to 29</t>
  </si>
  <si>
    <t>Diversity declined Days 8-22 and rebounded Day 29</t>
  </si>
  <si>
    <t>overall p&lt;0.05</t>
  </si>
  <si>
    <t>Nadir around Day 15-22</t>
  </si>
  <si>
    <t>No compatible SD of change for longitudinal meta-analysis.</t>
  </si>
  <si>
    <t>H033</t>
  </si>
  <si>
    <t>RQ5: Mucosal injury and inflammation</t>
  </si>
  <si>
    <t>Within ALL</t>
  </si>
  <si>
    <t>Lower Shannon associated with higher CRP and lower citrulline</t>
  </si>
  <si>
    <t>Inflammation / mucosal injury</t>
  </si>
  <si>
    <t>p&lt;0.05 at selected days</t>
  </si>
  <si>
    <t>Spearman</t>
  </si>
  <si>
    <t>rho approximately -0.33 to -0.49 for CRP</t>
  </si>
  <si>
    <t>Time-varying correlations; not causal.</t>
  </si>
  <si>
    <t>H034</t>
  </si>
  <si>
    <t>RQ5: Mucosal injury and taxa</t>
  </si>
  <si>
    <t>Enterococcus tracked CRP; Lachnospiraceae tracked citrulline</t>
  </si>
  <si>
    <t>p&lt;=0.009 / p&lt;0.001</t>
  </si>
  <si>
    <t>Opposing taxon-clinical associations</t>
  </si>
  <si>
    <t>Supports colonization-resistance interpretation but remains observational.</t>
  </si>
  <si>
    <t>H035</t>
  </si>
  <si>
    <t>RQ5: Bacteremia association</t>
  </si>
  <si>
    <t>Bacteremia vs no bacteremia</t>
  </si>
  <si>
    <t>Day-22 Shannon lower with bacteremia</t>
  </si>
  <si>
    <t>Clinical infection</t>
  </si>
  <si>
    <t>p=0.02</t>
  </si>
  <si>
    <t>Lower diversity in bacteremia group</t>
  </si>
  <si>
    <t>Antibiotic exposure and illness severity are intertwined.</t>
  </si>
  <si>
    <t>H036</t>
  </si>
  <si>
    <t>RQ4: Alpha trajectory</t>
  </si>
  <si>
    <t>Rajagopala_2020 - Active chemotherapy</t>
  </si>
  <si>
    <t>Diagnosis vs 1 month</t>
  </si>
  <si>
    <t>Shannon and Chao1 declined after induction</t>
  </si>
  <si>
    <t>p=0.019 / 0.001</t>
  </si>
  <si>
    <t>Early decline</t>
  </si>
  <si>
    <t>Change-score variance unavailable.</t>
  </si>
  <si>
    <t>H037</t>
  </si>
  <si>
    <t>RQ4: Persistent richness</t>
  </si>
  <si>
    <t>ALL vs siblings over 12 months</t>
  </si>
  <si>
    <t>Richness remained lower through 12 months</t>
  </si>
  <si>
    <t>p&lt;0.05 across timepoints</t>
  </si>
  <si>
    <t>Longitudinal mixed analysis</t>
  </si>
  <si>
    <t>Persistent lower Chao1</t>
  </si>
  <si>
    <t>Multiple timepoints are not independent studies.</t>
  </si>
  <si>
    <t>H038</t>
  </si>
  <si>
    <t>RQ4: Taxonomic trajectory</t>
  </si>
  <si>
    <t>ALL over time vs siblings</t>
  </si>
  <si>
    <t>Alistipes decreased</t>
  </si>
  <si>
    <t>DESeq2 p&lt;0.05</t>
  </si>
  <si>
    <t>BH / mixed model</t>
  </si>
  <si>
    <t>log2 fold approximately -2.6 to -4</t>
  </si>
  <si>
    <t>Treatment-associated depletion.</t>
  </si>
  <si>
    <t>H039</t>
  </si>
  <si>
    <t>Lachnoclostridium and R. gnavus increased</t>
  </si>
  <si>
    <t>Persistent mucolytic taxa</t>
  </si>
  <si>
    <t>Potentially relevant to mucosal disruption.</t>
  </si>
  <si>
    <t>H040</t>
  </si>
  <si>
    <t>RQ4: Diagnosis-to-remission change</t>
  </si>
  <si>
    <t>Gao_2020 - Remission comparison</t>
  </si>
  <si>
    <t>Diagnosis vs remission within ALL</t>
  </si>
  <si>
    <t>No alpha-diversity change</t>
  </si>
  <si>
    <t>No detectable change</t>
  </si>
  <si>
    <t>Small pre-post subset and timing not harmonized with other cohorts.</t>
  </si>
  <si>
    <t>H041</t>
  </si>
  <si>
    <t>RQ6: Weight as effect modifier</t>
  </si>
  <si>
    <t>Park_2023 - Weight status during treatment</t>
  </si>
  <si>
    <t>OW/OB vs normal weight trajectories</t>
  </si>
  <si>
    <t>Normal-weight diversity declined; OW/OB remained stable</t>
  </si>
  <si>
    <t>Longitudinal model</t>
  </si>
  <si>
    <t>Different trajectories</t>
  </si>
  <si>
    <t>Stability in OW/OB does not imply a healthier microbiome.</t>
  </si>
  <si>
    <t>H042</t>
  </si>
  <si>
    <t>Both weight groups shifted over treatment</t>
  </si>
  <si>
    <t>PERMANOVA p=0.001; R2=0.035</t>
  </si>
  <si>
    <t>Temporal compositional shifts</t>
  </si>
  <si>
    <t>Internal comparison only.</t>
  </si>
  <si>
    <t>H043</t>
  </si>
  <si>
    <t>RQ6: Obesogenic taxonomic profile</t>
  </si>
  <si>
    <t>K. pneumoniae and E. coli enriched; Akkermansia depleted</t>
  </si>
  <si>
    <t>p approximately 0.049</t>
  </si>
  <si>
    <t>ANCOM-BC / DESeq2</t>
  </si>
  <si>
    <t>Obesogenic profile</t>
  </si>
  <si>
    <t>Exploratory taxa and multiple testing.</t>
  </si>
  <si>
    <t>H044</t>
  </si>
  <si>
    <t>RQ6: Obesogenic functional profile</t>
  </si>
  <si>
    <t>Purine, sugar and cofactor biosynthesis enriched</t>
  </si>
  <si>
    <t>Differential pathway analysis</t>
  </si>
  <si>
    <t>OW/OB functional profile</t>
  </si>
  <si>
    <t>Hypothesis-generating.</t>
  </si>
  <si>
    <t>H045</t>
  </si>
  <si>
    <t>Infection and antibiotics</t>
  </si>
  <si>
    <t>RQ5: Diversity and infectious complications</t>
  </si>
  <si>
    <t>Nearing_2019 - Infectious complications</t>
  </si>
  <si>
    <t>IC vs NIC samples</t>
  </si>
  <si>
    <t>Faith phylogenetic diversity lower with infection</t>
  </si>
  <si>
    <t>p=0.014</t>
  </si>
  <si>
    <t>44 repeated samples from 16 children</t>
  </si>
  <si>
    <t>Do not use 44 as the participant denominator.</t>
  </si>
  <si>
    <t>H046</t>
  </si>
  <si>
    <t>RQ5: Community and infection</t>
  </si>
  <si>
    <t>Pre-IC vs NIC</t>
  </si>
  <si>
    <t>PERMANOVA p=0.027; R2=0.109</t>
  </si>
  <si>
    <t>UniFrac difference</t>
  </si>
  <si>
    <t>Repeated sampling and antibiotic exposure complicate temporality.</t>
  </si>
  <si>
    <t>H047</t>
  </si>
  <si>
    <t>RQ5: Taxa and infection</t>
  </si>
  <si>
    <t>F. prausnitzii depleted</t>
  </si>
  <si>
    <t>Classifier/differential signal</t>
  </si>
  <si>
    <t>Random forest / profiling</t>
  </si>
  <si>
    <t>Important classifier</t>
  </si>
  <si>
    <t>Not independently validated.</t>
  </si>
  <si>
    <t>H048</t>
  </si>
  <si>
    <t>RQ5: Infection prediction</t>
  </si>
  <si>
    <t>Species/clinical model accuracy</t>
  </si>
  <si>
    <t>Accuracy 84.1%</t>
  </si>
  <si>
    <t>Baseline prediction was limited; avoid causal or clinical-utility claims.</t>
  </si>
  <si>
    <t>H049</t>
  </si>
  <si>
    <t>RQ5: Pneumonia-associated diversity</t>
  </si>
  <si>
    <t>Liu_2021_Pneumonia - Pneumonia complication</t>
  </si>
  <si>
    <t>Pneumonia vs no pneumonia</t>
  </si>
  <si>
    <t>Alpha diversity higher in pneumonia</t>
  </si>
  <si>
    <t>Shannon p=0.002; other indices p&lt;=0.005</t>
  </si>
  <si>
    <t>Opposite direction to Nearing infection finding</t>
  </si>
  <si>
    <t>Different infection phenotype and sampling context.</t>
  </si>
  <si>
    <t>H050</t>
  </si>
  <si>
    <t>RQ5: Pneumonia-associated composition</t>
  </si>
  <si>
    <t>Distinct composition</t>
  </si>
  <si>
    <t>Nested analysis of the Liu 2020 cohort.</t>
  </si>
  <si>
    <t>H051</t>
  </si>
  <si>
    <t>RQ5: Pneumonia biomarkers</t>
  </si>
  <si>
    <t>Pneumonia-associated opportunistic species enriched</t>
  </si>
  <si>
    <t>LEfSe p approximately 0.049</t>
  </si>
  <si>
    <t>E. malodoratus, O. anthropi, A. cardiffensis</t>
  </si>
  <si>
    <t>Exploratory biomarkers.</t>
  </si>
  <si>
    <t>H052</t>
  </si>
  <si>
    <t>RQ5: Pneumonia prediction</t>
  </si>
  <si>
    <t>Species classifier AUC</t>
  </si>
  <si>
    <t>AUC=0.773</t>
  </si>
  <si>
    <t>No external validation.</t>
  </si>
  <si>
    <t>H053</t>
  </si>
  <si>
    <t>RQ5: Antibiotic-associated resistome</t>
  </si>
  <si>
    <t>Margolis_2021 - Antibiotic prophylaxis / resistome</t>
  </si>
  <si>
    <t>Baseline vs post-induction</t>
  </si>
  <si>
    <t>TMP-SMX resistance genes increased</t>
  </si>
  <si>
    <t>p&lt;0.0001</t>
  </si>
  <si>
    <t>Fold change 5.9 (95% CI 3.6-9.6)</t>
  </si>
  <si>
    <t>Increase occurred across the cohort and was not modified by levofloxacin.</t>
  </si>
  <si>
    <t>H054</t>
  </si>
  <si>
    <t>RQ5: Fluoroquinolone resistance</t>
  </si>
  <si>
    <t>Levofloxacin vs no prophylaxis</t>
  </si>
  <si>
    <t>Topoisomerase resistance mutations increased with levofloxacin</t>
  </si>
  <si>
    <t>10.4% after induction vs 0%</t>
  </si>
  <si>
    <t>Specific resistance trade-off.</t>
  </si>
  <si>
    <t>H055</t>
  </si>
  <si>
    <t>RQ5: Broader resistance burden</t>
  </si>
  <si>
    <t>Aminoglycoside and multidrug resistance genes increased</t>
  </si>
  <si>
    <t>Fold changes 10.5 and 8.6</t>
  </si>
  <si>
    <t>Not all gene classes differed by prophylaxis group.</t>
  </si>
  <si>
    <t>H056</t>
  </si>
  <si>
    <t>RQ5: Clinical benefit-risk</t>
  </si>
  <si>
    <t>C. difficile infection lower with levofloxacin</t>
  </si>
  <si>
    <t>p=0.044</t>
  </si>
  <si>
    <t>Unadjusted clinical comparison</t>
  </si>
  <si>
    <t>0/31 vs 3/18</t>
  </si>
  <si>
    <t>Present together with resistome harms.</t>
  </si>
  <si>
    <t>H057</t>
  </si>
  <si>
    <t>RQ5: Antibiotics and taxa</t>
  </si>
  <si>
    <t>Dunn_2021_Genes - PEG-asparaginase / antibiotics</t>
  </si>
  <si>
    <t>Antibiotic exposed vs unexposed</t>
  </si>
  <si>
    <t>Ruminococcaceae/Lachnospiraceae lower and Enterobacteriaceae higher</t>
  </si>
  <si>
    <t>Repeated nonparametric tests</t>
  </si>
  <si>
    <t>Opposing commensal/pathobiont shifts</t>
  </si>
  <si>
    <t>Possible overlap with Dunn 2020 and Nearing programme.</t>
  </si>
  <si>
    <t>H058</t>
  </si>
  <si>
    <t>Drug and function</t>
  </si>
  <si>
    <t>RQ3: Microbiota and PEG-asparaginase</t>
  </si>
  <si>
    <t>Dunn_2020_ASNase - PEG-asparaginase pharmacokinetics</t>
  </si>
  <si>
    <t>Serum activity increase vs decrease</t>
  </si>
  <si>
    <t>Microbial composition associated with ASNase activity change</t>
  </si>
  <si>
    <t>Drug interaction</t>
  </si>
  <si>
    <t>PERMANOVA p=0.016</t>
  </si>
  <si>
    <t>Multivariable exploration</t>
  </si>
  <si>
    <t>Age also explained variation</t>
  </si>
  <si>
    <t>Preliminary cohort; replication required.</t>
  </si>
  <si>
    <t>H059</t>
  </si>
  <si>
    <t>RQ3: Microbial genes and PEG-asparaginase</t>
  </si>
  <si>
    <t>Microbial ASNS negatively associated with serum ASNase change</t>
  </si>
  <si>
    <t>p=0.004</t>
  </si>
  <si>
    <t>Multivariable regression</t>
  </si>
  <si>
    <t>Best model R2 approximately 0.82</t>
  </si>
  <si>
    <t>Association does not demonstrate microbial causation.</t>
  </si>
  <si>
    <t>H060</t>
  </si>
  <si>
    <t>RQ3: Taxon-specific drug genes</t>
  </si>
  <si>
    <t>Faecalibacterium ASNS/ansA associated with greater ASNase decline</t>
  </si>
  <si>
    <t>p=0.012 / 0.017</t>
  </si>
  <si>
    <t>Lineage-specific models</t>
  </si>
  <si>
    <t>R2 approximately 0.42 / 0.39</t>
  </si>
  <si>
    <t>Multiple analyses in a very small cohort.</t>
  </si>
  <si>
    <t>H061</t>
  </si>
  <si>
    <t>RQ3: Functional response to pegaspargase</t>
  </si>
  <si>
    <t>Treatment weeks</t>
  </si>
  <si>
    <t>Stool asparagine and selected amino-acid/folate genes decreased</t>
  </si>
  <si>
    <t>multiple p&lt;0.05</t>
  </si>
  <si>
    <t>Repeated tests</t>
  </si>
  <si>
    <t>31 microbial genes changed</t>
  </si>
  <si>
    <t>Gene-level results should be summarized by pathway, not counted as independent studies.</t>
  </si>
  <si>
    <t>H062</t>
  </si>
  <si>
    <t>Purine/pyrimidine and biosynthetic genes increased</t>
  </si>
  <si>
    <t>Several KOs increased</t>
  </si>
  <si>
    <t>No independent replication.</t>
  </si>
  <si>
    <t>H063</t>
  </si>
  <si>
    <t>HSCT and survivorship</t>
  </si>
  <si>
    <t>RQ6: HSCT-associated dysbiosis</t>
  </si>
  <si>
    <t>Ugrayova_2022 - HSCT</t>
  </si>
  <si>
    <t>ALL-HSCT vs healthy</t>
  </si>
  <si>
    <t>Shannon/Simpson diversity lower after HSCT</t>
  </si>
  <si>
    <t>Age range includes 19 years.</t>
  </si>
  <si>
    <t>H064</t>
  </si>
  <si>
    <t>RQ6: HSCT-associated composition</t>
  </si>
  <si>
    <t>Post-HSCT separation</t>
  </si>
  <si>
    <t>Clinical context is distinct from standard chemotherapy.</t>
  </si>
  <si>
    <t>H065</t>
  </si>
  <si>
    <t>RQ6: Physical activity after HSCT</t>
  </si>
  <si>
    <t>Within ALL-HSCT</t>
  </si>
  <si>
    <t>Exercise positively associated with Shannon diversity</t>
  </si>
  <si>
    <t>Exercise / intervention</t>
  </si>
  <si>
    <t>rho=0.794; p=0.006</t>
  </si>
  <si>
    <t>More exercise, higher diversity</t>
  </si>
  <si>
    <t>Association may reflect health status and ability to exercise.</t>
  </si>
  <si>
    <t>H066</t>
  </si>
  <si>
    <t>RQ6: Inflammation and taxa after HSCT</t>
  </si>
  <si>
    <t>High CRP linked to lower Akkermansia/Butyricicoccus and higher Enterococcus</t>
  </si>
  <si>
    <t>p=0.02-0.05</t>
  </si>
  <si>
    <t>Opposing associations</t>
  </si>
  <si>
    <t>Small cohort and multiple correlations.</t>
  </si>
  <si>
    <t>H067</t>
  </si>
  <si>
    <t>RQ6: Survivorship dysbiosis</t>
  </si>
  <si>
    <t>Bielik_2023 - Survivorship baseline</t>
  </si>
  <si>
    <t>Survivors vs healthy controls</t>
  </si>
  <si>
    <t>Survivors had altered phyla and selected taxa</t>
  </si>
  <si>
    <t>p=0.001-0.018</t>
  </si>
  <si>
    <t>Higher F/B, Leptospira, Enterocloster; lower Barnesiella</t>
  </si>
  <si>
    <t>Cross-sectional survivor comparison.</t>
  </si>
  <si>
    <t>H068</t>
  </si>
  <si>
    <t>RQ6: Exercise-probiotic intervention</t>
  </si>
  <si>
    <t>Bielik_2023 - Survivorship intervention</t>
  </si>
  <si>
    <t>Post vs pre intervention</t>
  </si>
  <si>
    <t>Shannon and Chao1 increased; Simpson decreased</t>
  </si>
  <si>
    <t>p=0.02-0.04</t>
  </si>
  <si>
    <t>Paired tests</t>
  </si>
  <si>
    <t>Improved alpha metrics</t>
  </si>
  <si>
    <t>Single-arm combined intervention prevents causal attribution to either component.</t>
  </si>
  <si>
    <t>H069</t>
  </si>
  <si>
    <t>RQ6: Exercise-probiotic taxa</t>
  </si>
  <si>
    <t>L. casei and selected Veillonella increased</t>
  </si>
  <si>
    <t>p&lt;=0.04</t>
  </si>
  <si>
    <t>Selected taxa increased</t>
  </si>
  <si>
    <t>Many granular tests without multiplicity correction.</t>
  </si>
  <si>
    <t>H070</t>
  </si>
  <si>
    <t>Non-core clinical</t>
  </si>
  <si>
    <t>Context only</t>
  </si>
  <si>
    <t>Chiou_2019 - PTLD clinical outcomes</t>
  </si>
  <si>
    <t>Rituximab vs non-rituximab</t>
  </si>
  <si>
    <t>Culture-positive bacterial infection incidence higher</t>
  </si>
  <si>
    <t>Unadjusted cohort comparison</t>
  </si>
  <si>
    <t>31.4 vs 8.4 per 100 patient-years</t>
  </si>
  <si>
    <t>No resident microbiota profiling; exclude from core microbiome synthesis.</t>
  </si>
  <si>
    <t>H071</t>
  </si>
  <si>
    <t>Guadalupe_2013 - Neutropenic enterocolitis - non-core</t>
  </si>
  <si>
    <t>Descriptive stool cultures</t>
  </si>
  <si>
    <t>Gram-negative and mixed cultures predominated</t>
  </si>
  <si>
    <t>Descriptive</t>
  </si>
  <si>
    <t>68% Gram-negative; 57% mixed cultures</t>
  </si>
  <si>
    <t>Mixed ALL/AML and pathogen culture only.</t>
  </si>
  <si>
    <t>row_label</t>
  </si>
  <si>
    <t>feature</t>
  </si>
  <si>
    <t>cell_label</t>
  </si>
  <si>
    <t>Diagnosis gut</t>
  </si>
  <si>
    <t>Chua 2020</t>
  </si>
  <si>
    <t>↓ NS</t>
  </si>
  <si>
    <t>Lower trend</t>
  </si>
  <si>
    <t>≠</t>
  </si>
  <si>
    <t>Bray-Curtis difference</t>
  </si>
  <si>
    <t>↓</t>
  </si>
  <si>
    <t>Firmicutes/Actinobacteria lower</t>
  </si>
  <si>
    <t>↑</t>
  </si>
  <si>
    <t>Bacteroides enriched</t>
  </si>
  <si>
    <t>Gao 2020</t>
  </si>
  <si>
    <t>Shannon lower</t>
  </si>
  <si>
    <t>Chao1/ACE lower</t>
  </si>
  <si>
    <t>Visual PCoA separation</t>
  </si>
  <si>
    <t>Bifidobacterium/Blautia/Faecalibacterium/Ruminococcus</t>
  </si>
  <si>
    <t>Enterococcus/Veillonella</t>
  </si>
  <si>
    <t>Liu 2020</t>
  </si>
  <si>
    <t>0</t>
  </si>
  <si>
    <t>No alpha difference</t>
  </si>
  <si>
    <t>No Chao/ACE difference</t>
  </si>
  <si>
    <t>PCoA/NMDS difference</t>
  </si>
  <si>
    <t>Roseburia lower</t>
  </si>
  <si>
    <t>AUC</t>
  </si>
  <si>
    <t>AUC 0.843</t>
  </si>
  <si>
    <t>Rajagopala 2020</t>
  </si>
  <si>
    <t>Chao1 lower</t>
  </si>
  <si>
    <t>Faecalibacterium lower</t>
  </si>
  <si>
    <t>Muratore 2025</t>
  </si>
  <si>
    <t>UniFrac PERMANOVA</t>
  </si>
  <si>
    <t>Anaerostipes/Blautia/Intestinibacter</t>
  </si>
  <si>
    <t>Enterococcus/oral/opportunists</t>
  </si>
  <si>
    <t>shift</t>
  </si>
  <si>
    <t>AA/ethanolamine vs carbohydrate/folate</t>
  </si>
  <si>
    <t>No difference by recent antibiotics</t>
  </si>
  <si>
    <t>Treatment</t>
  </si>
  <si>
    <t>Lower during chemotherapy</t>
  </si>
  <si>
    <t>≈</t>
  </si>
  <si>
    <t>Alpha metrics approximate controls post-treatment</t>
  </si>
  <si>
    <t>Temporal community shift</t>
  </si>
  <si>
    <t>De Pietri 2020</t>
  </si>
  <si>
    <t>Decline Days 8-22</t>
  </si>
  <si>
    <t>↑ D29</t>
  </si>
  <si>
    <t>Rebound on Day 29</t>
  </si>
  <si>
    <t>−</t>
  </si>
  <si>
    <t>Low diversity with CRP/low citrulline</t>
  </si>
  <si>
    <t>Enterococcus with CRP</t>
  </si>
  <si>
    <t>Persistent through 12 months</t>
  </si>
  <si>
    <t>Alistipes lower</t>
  </si>
  <si>
    <t>Lachnoclostridium/R. gnavus</t>
  </si>
  <si>
    <t>No alpha change</t>
  </si>
  <si>
    <t>Park 2023</t>
  </si>
  <si>
    <t>mixed</t>
  </si>
  <si>
    <t>Decline only in normal-weight group</t>
  </si>
  <si>
    <t>Both groups shifted</t>
  </si>
  <si>
    <t>↑ OW/OB</t>
  </si>
  <si>
    <t>Klebsiella/E. coli higher</t>
  </si>
  <si>
    <t>Different metabolic pathways</t>
  </si>
  <si>
    <t>Dunn 2021</t>
  </si>
  <si>
    <t>Commensals lower/Enterobacteriaceae higher</t>
  </si>
  <si>
    <t>Multiple KOs changed</t>
  </si>
  <si>
    <t>Complications and exposures</t>
  </si>
  <si>
    <t>Nearing 2019</t>
  </si>
  <si>
    <t>Faith PD lower</t>
  </si>
  <si>
    <t>84%</t>
  </si>
  <si>
    <t>Internal accuracy</t>
  </si>
  <si>
    <t>Liu 2021</t>
  </si>
  <si>
    <t>Higher in pneumonia</t>
  </si>
  <si>
    <t>Pneumonia biomarkers</t>
  </si>
  <si>
    <t>AUC 0.773</t>
  </si>
  <si>
    <t>Margolis 2021</t>
  </si>
  <si>
    <t>Resistance burden increased</t>
  </si>
  <si>
    <t>↓ Cdiff</t>
  </si>
  <si>
    <t>C. difficile lower with levofloxacin</t>
  </si>
  <si>
    <t>Dunn 2020</t>
  </si>
  <si>
    <t>assoc</t>
  </si>
  <si>
    <t>Composition/genes associated with activity</t>
  </si>
  <si>
    <t>Ugrayova 2022</t>
  </si>
  <si>
    <t>Lower post-HSCT</t>
  </si>
  <si>
    <t>+</t>
  </si>
  <si>
    <t>Exercise associated with diversity</t>
  </si>
  <si>
    <t>CRP-taxon associations</t>
  </si>
  <si>
    <t>Bielik 2023</t>
  </si>
  <si>
    <t>Survivor dysbiosis</t>
  </si>
  <si>
    <t>Alpha diversity improved</t>
  </si>
  <si>
    <t>taxon_id</t>
  </si>
  <si>
    <t>canonical_taxon_or_group</t>
  </si>
  <si>
    <t>taxonomic_rank</t>
  </si>
  <si>
    <t>T001</t>
  </si>
  <si>
    <t>Genus</t>
  </si>
  <si>
    <t>p=0.049</t>
  </si>
  <si>
    <t>Enriched pre-chemotherapy</t>
  </si>
  <si>
    <t>T002</t>
  </si>
  <si>
    <t>Firmicutes</t>
  </si>
  <si>
    <t>Phylum</t>
  </si>
  <si>
    <t>T003</t>
  </si>
  <si>
    <t>Actinobacteria</t>
  </si>
  <si>
    <t>T004</t>
  </si>
  <si>
    <t>Enterococcus</t>
  </si>
  <si>
    <t>FDR=0.00082</t>
  </si>
  <si>
    <t>39.34% vs 0.02%</t>
  </si>
  <si>
    <t>T005</t>
  </si>
  <si>
    <t>Bifidobacterium</t>
  </si>
  <si>
    <t>FDR=0.00649</t>
  </si>
  <si>
    <t>T006</t>
  </si>
  <si>
    <t>Blautia</t>
  </si>
  <si>
    <t>FDR=0.000198</t>
  </si>
  <si>
    <t>T007</t>
  </si>
  <si>
    <t>Faecalibacterium</t>
  </si>
  <si>
    <t>FDR=0.0203</t>
  </si>
  <si>
    <t>T008</t>
  </si>
  <si>
    <t>Ruminococcus</t>
  </si>
  <si>
    <t>T009</t>
  </si>
  <si>
    <t>Veillonella</t>
  </si>
  <si>
    <t>FDR=0.0358</t>
  </si>
  <si>
    <t>T010</t>
  </si>
  <si>
    <t>FDR=0.0807</t>
  </si>
  <si>
    <t>Lower trend, not FDR-significant</t>
  </si>
  <si>
    <t>T011</t>
  </si>
  <si>
    <t>Bacteroides clarus</t>
  </si>
  <si>
    <t>Species</t>
  </si>
  <si>
    <t>T012</t>
  </si>
  <si>
    <t>Roseburia faecis</t>
  </si>
  <si>
    <t>T013</t>
  </si>
  <si>
    <t>BH p&lt;0.05</t>
  </si>
  <si>
    <t>T014</t>
  </si>
  <si>
    <t>Enterococcus faecium</t>
  </si>
  <si>
    <t>T015</t>
  </si>
  <si>
    <t>Anaerostipes hadrus</t>
  </si>
  <si>
    <t>T016</t>
  </si>
  <si>
    <t>Blautia wexlerae</t>
  </si>
  <si>
    <t>T017</t>
  </si>
  <si>
    <t>Intestinibacter bartlettii</t>
  </si>
  <si>
    <t>T018</t>
  </si>
  <si>
    <t>Rothia dentocariosa</t>
  </si>
  <si>
    <t>T019</t>
  </si>
  <si>
    <t>Lautropia mirabilis</t>
  </si>
  <si>
    <t>T020</t>
  </si>
  <si>
    <t>Treatment and complications</t>
  </si>
  <si>
    <t>Ruminococcaceae</t>
  </si>
  <si>
    <t>Family</t>
  </si>
  <si>
    <t>p≈0.049</t>
  </si>
  <si>
    <t>Later weeks / antibiotics</t>
  </si>
  <si>
    <t>T021</t>
  </si>
  <si>
    <t>Lachnospiraceae</t>
  </si>
  <si>
    <t>T022</t>
  </si>
  <si>
    <t>Enterobacteriaceae</t>
  </si>
  <si>
    <t>T023</t>
  </si>
  <si>
    <t>Alistipes</t>
  </si>
  <si>
    <t>During chemotherapy</t>
  </si>
  <si>
    <t>T024</t>
  </si>
  <si>
    <t>Lachnoclostridium</t>
  </si>
  <si>
    <t>During/after chemotherapy</t>
  </si>
  <si>
    <t>T025</t>
  </si>
  <si>
    <t>Ruminococcus gnavus</t>
  </si>
  <si>
    <t>T026</t>
  </si>
  <si>
    <t>Lower in infection-associated samples</t>
  </si>
  <si>
    <t>T027</t>
  </si>
  <si>
    <t>p≤0.009</t>
  </si>
  <si>
    <t>Higher CRP</t>
  </si>
  <si>
    <t>T028</t>
  </si>
  <si>
    <t>Higher citrulline</t>
  </si>
  <si>
    <t>T029</t>
  </si>
  <si>
    <t>Klebsiella pneumoniae</t>
  </si>
  <si>
    <t>Higher in OW/OB</t>
  </si>
  <si>
    <t>T030</t>
  </si>
  <si>
    <t>Escherichia coli</t>
  </si>
  <si>
    <t>T031</t>
  </si>
  <si>
    <t>Akkermansia</t>
  </si>
  <si>
    <t>Lower in OW/OB</t>
  </si>
  <si>
    <t>T032</t>
  </si>
  <si>
    <t>rho=-0.738; p=0.02</t>
  </si>
  <si>
    <t>CRP association</t>
  </si>
  <si>
    <t>Lower with higher CRP</t>
  </si>
  <si>
    <t>T033</t>
  </si>
  <si>
    <t>Butyricicoccus</t>
  </si>
  <si>
    <t>rho=-0.541; p=0.04</t>
  </si>
  <si>
    <t>T034</t>
  </si>
  <si>
    <t>rho=0.511; p=0.05</t>
  </si>
  <si>
    <t>Higher with higher CRP</t>
  </si>
  <si>
    <t>T035</t>
  </si>
  <si>
    <t>Lacticaseibacillus casei</t>
  </si>
  <si>
    <t>p=0.04</t>
  </si>
  <si>
    <t>Post vs pre</t>
  </si>
  <si>
    <t>Higher after intervention</t>
  </si>
  <si>
    <t>T036</t>
  </si>
  <si>
    <t>Genus/species</t>
  </si>
  <si>
    <t>p≤0.02</t>
  </si>
  <si>
    <t>Selected Veillonella increased</t>
  </si>
  <si>
    <t>metric</t>
  </si>
  <si>
    <t>n_all</t>
  </si>
  <si>
    <t>mean_all</t>
  </si>
  <si>
    <t>sd_all</t>
  </si>
  <si>
    <t>n_control</t>
  </si>
  <si>
    <t>mean_control</t>
  </si>
  <si>
    <t>sd_control</t>
  </si>
  <si>
    <t>data_origin</t>
  </si>
  <si>
    <t>include_main</t>
  </si>
  <si>
    <t>include_extended</t>
  </si>
  <si>
    <t>pairing_note</t>
  </si>
  <si>
    <t>limitations</t>
  </si>
  <si>
    <t>Shannon</t>
  </si>
  <si>
    <t>Reported mean and SD</t>
  </si>
  <si>
    <t>Independent groups</t>
  </si>
  <si>
    <t>Digitised boxplot quartiles then Wan conversion</t>
  </si>
  <si>
    <t>14 matched pairs; correlation unavailable, analysed as independent groups</t>
  </si>
  <si>
    <t>Sensitivity-quality data</t>
  </si>
  <si>
    <t>Main Figure 1a, dataset 2</t>
  </si>
  <si>
    <t>Digitised Figure 1d quartiles then Wan conversion</t>
  </si>
  <si>
    <t>Independent matched controls</t>
  </si>
  <si>
    <t>Very small; antibiotic confounding</t>
  </si>
  <si>
    <t>Figure 1d</t>
  </si>
  <si>
    <t>Reported median/IQR then Wan conversion</t>
  </si>
  <si>
    <t>Day-1 window -2 to +5 days around treatment start</t>
  </si>
  <si>
    <t>Chao1</t>
  </si>
  <si>
    <t>Direct Chao1 values</t>
  </si>
  <si>
    <t>Digitised Figure 1e quartiles then Wan conversion</t>
  </si>
  <si>
    <t>Figure 1e</t>
  </si>
  <si>
    <t>Observed species</t>
  </si>
  <si>
    <t>Broad richness sensitivity only: not Chao1; early treatment window</t>
  </si>
  <si>
    <t>group</t>
  </si>
  <si>
    <t>n</t>
  </si>
  <si>
    <t>q1</t>
  </si>
  <si>
    <t>median</t>
  </si>
  <si>
    <t>q3</t>
  </si>
  <si>
    <t>estimated_mean</t>
  </si>
  <si>
    <t>estimated_sd</t>
  </si>
  <si>
    <t>axis_slope</t>
  </si>
  <si>
    <t>axis_intercept</t>
  </si>
  <si>
    <t>pixel_y_q1</t>
  </si>
  <si>
    <t>pixel_y_median</t>
  </si>
  <si>
    <t>pixel_y_q3</t>
  </si>
  <si>
    <t>method</t>
  </si>
  <si>
    <t>ALL pre-chemo</t>
  </si>
  <si>
    <t>Pixel-calibrated quartiles + Wan</t>
  </si>
  <si>
    <t>Healthy control</t>
  </si>
  <si>
    <t>ALL diagnosis</t>
  </si>
  <si>
    <t>Sibling control</t>
  </si>
  <si>
    <t>ALL Day 1</t>
  </si>
  <si>
    <t>Reported quartiles + Wan</t>
  </si>
  <si>
    <t>purpose</t>
  </si>
  <si>
    <t>reference</t>
  </si>
  <si>
    <t>doi_or_url</t>
  </si>
  <si>
    <t>implementation_note</t>
  </si>
  <si>
    <t>Random-effects SMD</t>
  </si>
  <si>
    <t>Viechtbauer W. Conducting meta-analyses in R with the metafor package. J Stat Softw. 2010;36(3).</t>
  </si>
  <si>
    <t>https://doi.org/10.18637/jss.v036.i03</t>
  </si>
  <si>
    <t>Rmd uses metafor::escalc and rma with REML.</t>
  </si>
  <si>
    <t>Standardized mean difference tutorial</t>
  </si>
  <si>
    <t>Gallardo-Gómez D, Richardson R, Dwan K. Standardized mean differences in meta-analysis: a tutorial. Cochrane Evidence Synthesis and Methods. 2024;2:e12047.</t>
  </si>
  <si>
    <t>https://doi.org/10.1002/cesm.12047</t>
  </si>
  <si>
    <t>Negative Hedges g is coded as lower in ALL.</t>
  </si>
  <si>
    <t>Median/IQR conversion</t>
  </si>
  <si>
    <t>Wan X et al. Estimating the sample mean and standard deviation from sample size, median, range and/or IQR. BMC Med Res Methodol. 2014;14:135.</t>
  </si>
  <si>
    <t>https://doi.org/10.1186/1471-2288-14-135</t>
  </si>
  <si>
    <t>Used transparently for digitised/reported quartiles; sensitivity only.</t>
  </si>
  <si>
    <t>Alternative quantile estimation</t>
  </si>
  <si>
    <t>McGrath S et al. Estimating the sample mean and standard deviation from commonly reported quantiles in meta-analysis. Stat Methods Med Res. 2020;29:2520-2537.</t>
  </si>
  <si>
    <t>https://doi.org/10.1177/0962280219889080</t>
  </si>
  <si>
    <t>Can be substituted if the analyst prefers QE methods.</t>
  </si>
  <si>
    <t>Synthesis without meta-analysis</t>
  </si>
  <si>
    <t>Campbell M et al. SWiM reporting guideline. BMJ. 2020;368:l6890.</t>
  </si>
  <si>
    <t>https://doi.org/10.1136/bmj.l6890</t>
  </si>
  <si>
    <t>Harvest plots and heatmaps are stratified by clinical context.</t>
  </si>
  <si>
    <t>Direction-of-effect vote counting</t>
  </si>
  <si>
    <t>Cochrane Handbook, Chapter 12.</t>
  </si>
  <si>
    <t>https://training.cochrane.org/handbook/current/chapter-12</t>
  </si>
  <si>
    <t>Rmd computes unweighted study-level direction summaries only; no participant-number weighting.</t>
  </si>
  <si>
    <t>Certainty of evidence</t>
  </si>
  <si>
    <t>Cochrane Handbook, Chapter 14.</t>
  </si>
  <si>
    <t>https://training.cochrane.org/handbook/current/chapter-14</t>
  </si>
  <si>
    <t>Apply separately to Shannon and Chao1 bodies of evidence.</t>
  </si>
  <si>
    <t>sheet</t>
  </si>
  <si>
    <t>variable</t>
  </si>
  <si>
    <t>definition</t>
  </si>
  <si>
    <t>-1 lower/depleted; 0 no difference; 1 higher/enriched; 2 different/mixed; 9 not assessed.</t>
  </si>
  <si>
    <t>3 low/minor risk; 2 moderate/moderate-high; 1 high risk.</t>
  </si>
  <si>
    <t>TRUE rows are used by default; non-core clinical context is FALSE.</t>
  </si>
  <si>
    <t>Canonical feature used to organize evidence without pooling incompatible metrics.</t>
  </si>
  <si>
    <t>MA_Shannon / MA_Richness</t>
  </si>
  <si>
    <t>Diagnosis-time main analysis.</t>
  </si>
  <si>
    <t>Adds De Pietri early-induction sensitivity.</t>
  </si>
  <si>
    <t>Distinguishes reported values from figure-derived or converted data.</t>
  </si>
  <si>
    <t>Identifies matched groups and unavailable within-pair correlation.</t>
  </si>
  <si>
    <t>Findings_all</t>
  </si>
  <si>
    <t>Direction relative to disease/exposure/later time as defined by the row contrast.</t>
  </si>
  <si>
    <t>Direct article verification versus inherited checked extraction.</t>
  </si>
  <si>
    <t>Whether FDR/BH correction was reported.</t>
  </si>
  <si>
    <t>Eligibility flag used by the analysis.</t>
  </si>
  <si>
    <t>analysis</t>
  </si>
  <si>
    <t>df</t>
  </si>
  <si>
    <t>pooled_sd</t>
  </si>
  <si>
    <t>cohen_d</t>
  </si>
  <si>
    <t>J</t>
  </si>
  <si>
    <t>hedges_g</t>
  </si>
  <si>
    <t>variance</t>
  </si>
  <si>
    <t>se</t>
  </si>
  <si>
    <t>ci_low</t>
  </si>
  <si>
    <t>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</si>
</sst>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"/>
  <cols>
    <col min="1" max="1" width="28" customWidth="1"/>
    <col min="2" max="2" width="11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 ht="28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"/>
  <cols>
    <col min="1" max="1" width="42" customWidth="1"/>
    <col min="2" max="3" width="38" customWidth="1"/>
    <col min="4" max="4" width="48" customWidth="1"/>
    <col min="5" max="5" width="40" customWidth="1"/>
    <col min="6" max="6" width="42" customWidth="1"/>
    <col min="7" max="7" width="8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ht="28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</row>
    <row r="3" spans="1:7" ht="28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</row>
    <row r="4" spans="1:7" ht="28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</row>
    <row r="5" spans="1:7" ht="28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</row>
    <row r="6" spans="1:7" ht="28">
      <c r="A6" s="2" t="s">
        <v>47</v>
      </c>
      <c r="B6" s="2" t="s">
        <v>48</v>
      </c>
      <c r="C6" s="2" t="s">
        <v>49</v>
      </c>
      <c r="D6" s="2" t="s">
        <v>50</v>
      </c>
      <c r="E6" s="2" t="s">
        <v>44</v>
      </c>
      <c r="F6" s="2" t="s">
        <v>51</v>
      </c>
      <c r="G6" s="2" t="s">
        <v>52</v>
      </c>
    </row>
    <row r="7" spans="1:7" ht="28">
      <c r="A7" s="2" t="s">
        <v>53</v>
      </c>
      <c r="B7" s="2" t="s">
        <v>54</v>
      </c>
      <c r="C7" s="2" t="s">
        <v>55</v>
      </c>
      <c r="D7" s="2" t="s">
        <v>56</v>
      </c>
      <c r="E7" s="2" t="s">
        <v>44</v>
      </c>
      <c r="F7" s="2" t="s">
        <v>57</v>
      </c>
      <c r="G7" s="2" t="s">
        <v>58</v>
      </c>
    </row>
    <row r="8" spans="1:7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"/>
  <sheetViews>
    <sheetView workbookViewId="0">
      <selection activeCell="U1" sqref="U1:U1048576"/>
    </sheetView>
  </sheetViews>
  <sheetFormatPr defaultRowHeight="14"/>
  <cols>
    <col min="1" max="2" width="24" customWidth="1"/>
    <col min="3" max="3" width="8" customWidth="1"/>
    <col min="4" max="4" width="14" customWidth="1"/>
    <col min="5" max="5" width="70" customWidth="1"/>
    <col min="6" max="6" width="32" customWidth="1"/>
    <col min="7" max="7" width="20" customWidth="1"/>
    <col min="8" max="8" width="18" customWidth="1"/>
    <col min="9" max="9" width="30" customWidth="1"/>
    <col min="10" max="10" width="34" customWidth="1"/>
    <col min="11" max="13" width="14" customWidth="1"/>
    <col min="14" max="14" width="55" customWidth="1"/>
    <col min="15" max="15" width="34" customWidth="1"/>
    <col min="16" max="18" width="20" customWidth="1"/>
    <col min="19" max="19" width="70" customWidth="1"/>
    <col min="20" max="21" width="30" customWidth="1"/>
    <col min="22" max="22" width="28" customWidth="1"/>
    <col min="23" max="23" width="20" customWidth="1"/>
    <col min="24" max="24" width="12" customWidth="1"/>
    <col min="25" max="25" width="75" customWidth="1"/>
  </cols>
  <sheetData>
    <row r="1" spans="1:25" ht="2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</row>
    <row r="2" spans="1:25" ht="42">
      <c r="A2" s="2" t="s">
        <v>92</v>
      </c>
      <c r="B2" s="2" t="s">
        <v>93</v>
      </c>
      <c r="C2" s="2">
        <v>2020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>
        <v>12</v>
      </c>
      <c r="L2" s="2">
        <v>12</v>
      </c>
      <c r="M2" s="2">
        <v>0</v>
      </c>
      <c r="N2" s="2" t="s">
        <v>101</v>
      </c>
      <c r="O2" s="2" t="s">
        <v>102</v>
      </c>
      <c r="P2" s="3" t="b">
        <v>1</v>
      </c>
      <c r="Q2" s="2" t="s">
        <v>103</v>
      </c>
      <c r="R2" s="3" t="b">
        <v>1</v>
      </c>
      <c r="S2" s="2" t="s">
        <v>104</v>
      </c>
      <c r="T2" s="2" t="s">
        <v>105</v>
      </c>
      <c r="U2" s="2" t="s">
        <v>106</v>
      </c>
      <c r="V2" s="2" t="s">
        <v>107</v>
      </c>
      <c r="W2" s="2" t="s">
        <v>108</v>
      </c>
      <c r="X2" s="2">
        <v>2</v>
      </c>
      <c r="Y2" s="2" t="s">
        <v>109</v>
      </c>
    </row>
    <row r="3" spans="1:25" ht="28">
      <c r="A3" s="2" t="s">
        <v>110</v>
      </c>
      <c r="B3" s="2" t="s">
        <v>111</v>
      </c>
      <c r="C3" s="2">
        <v>2020</v>
      </c>
      <c r="D3" s="2" t="s">
        <v>112</v>
      </c>
      <c r="E3" s="2" t="s">
        <v>113</v>
      </c>
      <c r="F3" s="2" t="s">
        <v>114</v>
      </c>
      <c r="G3" s="2" t="s">
        <v>97</v>
      </c>
      <c r="H3" s="2" t="s">
        <v>98</v>
      </c>
      <c r="I3" s="2" t="s">
        <v>116</v>
      </c>
      <c r="J3" s="2" t="s">
        <v>117</v>
      </c>
      <c r="K3" s="2">
        <v>14</v>
      </c>
      <c r="L3" s="2">
        <v>7</v>
      </c>
      <c r="M3" s="2">
        <v>7</v>
      </c>
      <c r="N3" s="2" t="s">
        <v>118</v>
      </c>
      <c r="O3" s="2" t="s">
        <v>119</v>
      </c>
      <c r="P3" s="3" t="b">
        <v>1</v>
      </c>
      <c r="Q3" s="2" t="s">
        <v>120</v>
      </c>
      <c r="R3" s="3" t="b">
        <v>1</v>
      </c>
      <c r="S3" s="2" t="s">
        <v>121</v>
      </c>
      <c r="T3" s="2" t="s">
        <v>122</v>
      </c>
      <c r="U3" s="2"/>
      <c r="V3" s="2" t="s">
        <v>107</v>
      </c>
      <c r="W3" s="2" t="s">
        <v>108</v>
      </c>
      <c r="X3" s="2">
        <v>2</v>
      </c>
      <c r="Y3" s="2" t="s">
        <v>123</v>
      </c>
    </row>
    <row r="4" spans="1:25" ht="28">
      <c r="A4" s="2" t="s">
        <v>124</v>
      </c>
      <c r="B4" s="2" t="s">
        <v>125</v>
      </c>
      <c r="C4" s="2">
        <v>2014</v>
      </c>
      <c r="D4" s="2" t="s">
        <v>126</v>
      </c>
      <c r="E4" s="2" t="s">
        <v>127</v>
      </c>
      <c r="F4" s="2" t="s">
        <v>128</v>
      </c>
      <c r="G4" s="2" t="s">
        <v>97</v>
      </c>
      <c r="H4" s="2" t="s">
        <v>129</v>
      </c>
      <c r="I4" s="2" t="s">
        <v>130</v>
      </c>
      <c r="J4" s="2" t="s">
        <v>131</v>
      </c>
      <c r="K4" s="2">
        <v>25</v>
      </c>
      <c r="L4" s="2">
        <v>13</v>
      </c>
      <c r="M4" s="2">
        <v>12</v>
      </c>
      <c r="N4" s="2" t="s">
        <v>132</v>
      </c>
      <c r="O4" s="2" t="s">
        <v>133</v>
      </c>
      <c r="P4" s="3" t="b">
        <v>1</v>
      </c>
      <c r="Q4" s="2" t="s">
        <v>134</v>
      </c>
      <c r="R4" s="3" t="b">
        <v>0</v>
      </c>
      <c r="S4" s="2" t="s">
        <v>135</v>
      </c>
      <c r="T4" s="2" t="s">
        <v>136</v>
      </c>
      <c r="U4" s="2"/>
      <c r="V4" s="2" t="s">
        <v>107</v>
      </c>
      <c r="W4" s="2" t="s">
        <v>137</v>
      </c>
      <c r="X4" s="2">
        <v>3</v>
      </c>
      <c r="Y4" s="2" t="s">
        <v>138</v>
      </c>
    </row>
    <row r="5" spans="1:25" ht="42">
      <c r="A5" s="2" t="s">
        <v>139</v>
      </c>
      <c r="B5" s="2" t="s">
        <v>140</v>
      </c>
      <c r="C5" s="2">
        <v>2022</v>
      </c>
      <c r="D5" s="2" t="s">
        <v>141</v>
      </c>
      <c r="E5" s="2" t="s">
        <v>142</v>
      </c>
      <c r="F5" s="2" t="s">
        <v>143</v>
      </c>
      <c r="G5" s="2" t="s">
        <v>144</v>
      </c>
      <c r="H5" s="2" t="s">
        <v>98</v>
      </c>
      <c r="I5" s="2" t="s">
        <v>145</v>
      </c>
      <c r="J5" s="2" t="s">
        <v>146</v>
      </c>
      <c r="K5" s="2">
        <v>29</v>
      </c>
      <c r="L5" s="2">
        <v>16</v>
      </c>
      <c r="M5" s="2">
        <v>13</v>
      </c>
      <c r="N5" s="2" t="s">
        <v>147</v>
      </c>
      <c r="O5" s="2" t="s">
        <v>148</v>
      </c>
      <c r="P5" s="3" t="b">
        <v>1</v>
      </c>
      <c r="Q5" s="2" t="s">
        <v>149</v>
      </c>
      <c r="R5" s="3" t="b">
        <v>1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108</v>
      </c>
      <c r="X5" s="2">
        <v>2</v>
      </c>
      <c r="Y5" s="2" t="s">
        <v>154</v>
      </c>
    </row>
    <row r="6" spans="1:25" ht="42">
      <c r="A6" s="2" t="s">
        <v>155</v>
      </c>
      <c r="B6" s="2" t="s">
        <v>156</v>
      </c>
      <c r="C6" s="2">
        <v>2023</v>
      </c>
      <c r="D6" s="2" t="s">
        <v>141</v>
      </c>
      <c r="E6" s="2" t="s">
        <v>157</v>
      </c>
      <c r="F6" s="2" t="s">
        <v>158</v>
      </c>
      <c r="G6" s="2" t="s">
        <v>159</v>
      </c>
      <c r="H6" s="2" t="s">
        <v>98</v>
      </c>
      <c r="I6" s="2" t="s">
        <v>160</v>
      </c>
      <c r="J6" s="2" t="s">
        <v>161</v>
      </c>
      <c r="K6" s="2">
        <v>32</v>
      </c>
      <c r="L6" s="2">
        <v>16</v>
      </c>
      <c r="M6" s="2">
        <v>16</v>
      </c>
      <c r="N6" s="2" t="s">
        <v>162</v>
      </c>
      <c r="O6" s="2" t="s">
        <v>163</v>
      </c>
      <c r="P6" s="3" t="b">
        <v>1</v>
      </c>
      <c r="Q6" s="2" t="s">
        <v>164</v>
      </c>
      <c r="R6" s="3" t="b">
        <v>1</v>
      </c>
      <c r="S6" s="2" t="s">
        <v>165</v>
      </c>
      <c r="T6" s="2" t="s">
        <v>166</v>
      </c>
      <c r="U6" s="2" t="s">
        <v>152</v>
      </c>
      <c r="V6" s="2" t="s">
        <v>107</v>
      </c>
      <c r="W6" s="2" t="s">
        <v>167</v>
      </c>
      <c r="X6" s="2">
        <v>1</v>
      </c>
      <c r="Y6" s="2" t="s">
        <v>168</v>
      </c>
    </row>
    <row r="7" spans="1:25" ht="28">
      <c r="A7" s="2" t="s">
        <v>169</v>
      </c>
      <c r="B7" s="2" t="s">
        <v>170</v>
      </c>
      <c r="C7" s="2">
        <v>2019</v>
      </c>
      <c r="D7" s="2" t="s">
        <v>94</v>
      </c>
      <c r="E7" s="2" t="s">
        <v>171</v>
      </c>
      <c r="F7" s="2" t="s">
        <v>172</v>
      </c>
      <c r="G7" s="2" t="s">
        <v>173</v>
      </c>
      <c r="H7" s="2" t="s">
        <v>98</v>
      </c>
      <c r="I7" s="2" t="s">
        <v>116</v>
      </c>
      <c r="J7" s="2" t="s">
        <v>174</v>
      </c>
      <c r="K7" s="2">
        <v>16</v>
      </c>
      <c r="L7" s="2">
        <v>9</v>
      </c>
      <c r="M7" s="2">
        <v>7</v>
      </c>
      <c r="N7" s="2" t="s">
        <v>175</v>
      </c>
      <c r="O7" s="2" t="s">
        <v>102</v>
      </c>
      <c r="P7" s="3" t="b">
        <v>1</v>
      </c>
      <c r="Q7" s="2" t="s">
        <v>120</v>
      </c>
      <c r="R7" s="3" t="b">
        <v>1</v>
      </c>
      <c r="S7" s="2" t="s">
        <v>176</v>
      </c>
      <c r="T7" s="2" t="s">
        <v>177</v>
      </c>
      <c r="U7" s="2" t="s">
        <v>106</v>
      </c>
      <c r="V7" s="2" t="s">
        <v>107</v>
      </c>
      <c r="W7" s="2" t="s">
        <v>108</v>
      </c>
      <c r="X7" s="2">
        <v>2</v>
      </c>
      <c r="Y7" s="2" t="s">
        <v>178</v>
      </c>
    </row>
    <row r="8" spans="1:25" ht="28">
      <c r="A8" s="2" t="s">
        <v>179</v>
      </c>
      <c r="B8" s="2" t="s">
        <v>180</v>
      </c>
      <c r="C8" s="2">
        <v>2021</v>
      </c>
      <c r="D8" s="2" t="s">
        <v>126</v>
      </c>
      <c r="E8" s="2" t="s">
        <v>181</v>
      </c>
      <c r="F8" s="2" t="s">
        <v>182</v>
      </c>
      <c r="G8" s="2" t="s">
        <v>183</v>
      </c>
      <c r="H8" s="2" t="s">
        <v>98</v>
      </c>
      <c r="I8" s="2" t="s">
        <v>184</v>
      </c>
      <c r="J8" s="2" t="s">
        <v>185</v>
      </c>
      <c r="K8" s="2">
        <v>58</v>
      </c>
      <c r="L8" s="2">
        <v>14</v>
      </c>
      <c r="M8" s="2">
        <v>44</v>
      </c>
      <c r="N8" s="2" t="s">
        <v>186</v>
      </c>
      <c r="O8" s="2" t="s">
        <v>187</v>
      </c>
      <c r="P8" s="3" t="b">
        <v>1</v>
      </c>
      <c r="Q8" s="2" t="s">
        <v>188</v>
      </c>
      <c r="R8" s="3" t="b">
        <v>1</v>
      </c>
      <c r="S8" s="2" t="s">
        <v>189</v>
      </c>
      <c r="T8" s="2" t="s">
        <v>190</v>
      </c>
      <c r="U8" s="2" t="s">
        <v>191</v>
      </c>
      <c r="V8" s="2" t="s">
        <v>107</v>
      </c>
      <c r="W8" s="2" t="s">
        <v>108</v>
      </c>
      <c r="X8" s="2">
        <v>2</v>
      </c>
      <c r="Y8" s="2" t="s">
        <v>192</v>
      </c>
    </row>
    <row r="9" spans="1:25" ht="28">
      <c r="A9" s="2" t="s">
        <v>193</v>
      </c>
      <c r="B9" s="2" t="s">
        <v>194</v>
      </c>
      <c r="C9" s="2">
        <v>2021</v>
      </c>
      <c r="D9" s="2" t="s">
        <v>94</v>
      </c>
      <c r="E9" s="2" t="s">
        <v>195</v>
      </c>
      <c r="F9" s="2" t="s">
        <v>196</v>
      </c>
      <c r="G9" s="2" t="s">
        <v>97</v>
      </c>
      <c r="H9" s="2" t="s">
        <v>98</v>
      </c>
      <c r="I9" s="2" t="s">
        <v>116</v>
      </c>
      <c r="J9" s="2" t="s">
        <v>197</v>
      </c>
      <c r="K9" s="2">
        <v>26</v>
      </c>
      <c r="L9" s="2">
        <v>26</v>
      </c>
      <c r="M9" s="2">
        <v>0</v>
      </c>
      <c r="N9" s="2" t="s">
        <v>198</v>
      </c>
      <c r="O9" s="2" t="s">
        <v>199</v>
      </c>
      <c r="P9" s="3" t="b">
        <v>1</v>
      </c>
      <c r="Q9" s="2" t="s">
        <v>103</v>
      </c>
      <c r="R9" s="3" t="b">
        <v>1</v>
      </c>
      <c r="S9" s="2" t="s">
        <v>200</v>
      </c>
      <c r="T9" s="2" t="s">
        <v>201</v>
      </c>
      <c r="U9" s="2" t="s">
        <v>106</v>
      </c>
      <c r="V9" s="2" t="s">
        <v>107</v>
      </c>
      <c r="W9" s="2" t="s">
        <v>202</v>
      </c>
      <c r="X9" s="2">
        <v>2</v>
      </c>
      <c r="Y9" s="2" t="s">
        <v>203</v>
      </c>
    </row>
    <row r="10" spans="1:25" ht="28">
      <c r="A10" s="2" t="s">
        <v>204</v>
      </c>
      <c r="B10" s="2" t="s">
        <v>205</v>
      </c>
      <c r="C10" s="2">
        <v>2021</v>
      </c>
      <c r="D10" s="2" t="s">
        <v>206</v>
      </c>
      <c r="E10" s="2" t="s">
        <v>207</v>
      </c>
      <c r="F10" s="2" t="s">
        <v>208</v>
      </c>
      <c r="G10" s="2" t="s">
        <v>97</v>
      </c>
      <c r="H10" s="2" t="s">
        <v>98</v>
      </c>
      <c r="I10" s="2" t="s">
        <v>209</v>
      </c>
      <c r="J10" s="2" t="s">
        <v>210</v>
      </c>
      <c r="K10" s="2">
        <v>49</v>
      </c>
      <c r="L10" s="2">
        <v>31</v>
      </c>
      <c r="M10" s="2">
        <v>18</v>
      </c>
      <c r="N10" s="2" t="s">
        <v>211</v>
      </c>
      <c r="O10" s="2" t="s">
        <v>212</v>
      </c>
      <c r="P10" s="3" t="b">
        <v>1</v>
      </c>
      <c r="Q10" s="2" t="s">
        <v>120</v>
      </c>
      <c r="R10" s="3" t="b">
        <v>1</v>
      </c>
      <c r="S10" s="2" t="s">
        <v>213</v>
      </c>
      <c r="T10" s="2" t="s">
        <v>214</v>
      </c>
      <c r="U10" s="2"/>
      <c r="V10" s="2" t="s">
        <v>107</v>
      </c>
      <c r="W10" s="2" t="s">
        <v>137</v>
      </c>
      <c r="X10" s="2">
        <v>3</v>
      </c>
      <c r="Y10" s="2" t="s">
        <v>215</v>
      </c>
    </row>
    <row r="11" spans="1:25" ht="28">
      <c r="A11" s="2" t="s">
        <v>216</v>
      </c>
      <c r="B11" s="2" t="s">
        <v>217</v>
      </c>
      <c r="C11" s="2">
        <v>2023</v>
      </c>
      <c r="D11" s="2" t="s">
        <v>206</v>
      </c>
      <c r="E11" s="2" t="s">
        <v>218</v>
      </c>
      <c r="F11" s="2" t="s">
        <v>219</v>
      </c>
      <c r="G11" s="2" t="s">
        <v>97</v>
      </c>
      <c r="H11" s="2" t="s">
        <v>98</v>
      </c>
      <c r="I11" s="2" t="s">
        <v>220</v>
      </c>
      <c r="J11" s="2" t="s">
        <v>221</v>
      </c>
      <c r="K11" s="2">
        <v>62</v>
      </c>
      <c r="L11" s="2">
        <v>62</v>
      </c>
      <c r="M11" s="2">
        <v>0</v>
      </c>
      <c r="N11" s="2" t="s">
        <v>222</v>
      </c>
      <c r="O11" s="2" t="s">
        <v>212</v>
      </c>
      <c r="P11" s="3" t="b">
        <v>1</v>
      </c>
      <c r="Q11" s="2" t="s">
        <v>149</v>
      </c>
      <c r="R11" s="3" t="b">
        <v>1</v>
      </c>
      <c r="S11" s="2" t="s">
        <v>223</v>
      </c>
      <c r="T11" s="2" t="s">
        <v>224</v>
      </c>
      <c r="U11" s="2"/>
      <c r="V11" s="2" t="s">
        <v>225</v>
      </c>
      <c r="W11" s="2" t="s">
        <v>137</v>
      </c>
      <c r="X11" s="2">
        <v>3</v>
      </c>
      <c r="Y11" s="2" t="s">
        <v>226</v>
      </c>
    </row>
    <row r="12" spans="1:25" ht="42">
      <c r="A12" s="2" t="s">
        <v>227</v>
      </c>
      <c r="B12" s="2" t="s">
        <v>228</v>
      </c>
      <c r="C12" s="2">
        <v>2013</v>
      </c>
      <c r="D12" s="2" t="s">
        <v>229</v>
      </c>
      <c r="E12" s="2" t="s">
        <v>230</v>
      </c>
      <c r="F12" s="2"/>
      <c r="G12" s="2" t="s">
        <v>231</v>
      </c>
      <c r="H12" s="2" t="s">
        <v>232</v>
      </c>
      <c r="I12" s="2" t="s">
        <v>233</v>
      </c>
      <c r="J12" s="2" t="s">
        <v>234</v>
      </c>
      <c r="K12" s="2">
        <v>21</v>
      </c>
      <c r="L12" s="2">
        <v>21</v>
      </c>
      <c r="M12" s="2">
        <v>0</v>
      </c>
      <c r="N12" s="2" t="s">
        <v>235</v>
      </c>
      <c r="O12" s="2" t="s">
        <v>236</v>
      </c>
      <c r="P12" s="3" t="b">
        <v>1</v>
      </c>
      <c r="Q12" s="2" t="s">
        <v>237</v>
      </c>
      <c r="R12" s="3" t="b">
        <v>0</v>
      </c>
      <c r="S12" s="2" t="s">
        <v>238</v>
      </c>
      <c r="T12" s="2" t="s">
        <v>239</v>
      </c>
      <c r="U12" s="2"/>
      <c r="V12" s="2" t="s">
        <v>107</v>
      </c>
      <c r="W12" s="2" t="s">
        <v>202</v>
      </c>
      <c r="X12" s="2">
        <v>2</v>
      </c>
      <c r="Y12" s="2" t="s">
        <v>240</v>
      </c>
    </row>
    <row r="13" spans="1:25" ht="42">
      <c r="A13" s="2" t="s">
        <v>241</v>
      </c>
      <c r="B13" s="2" t="s">
        <v>242</v>
      </c>
      <c r="C13" s="2">
        <v>2019</v>
      </c>
      <c r="D13" s="2" t="s">
        <v>243</v>
      </c>
      <c r="E13" s="2" t="s">
        <v>244</v>
      </c>
      <c r="F13" s="2" t="s">
        <v>245</v>
      </c>
      <c r="G13" s="2" t="s">
        <v>246</v>
      </c>
      <c r="H13" s="2" t="s">
        <v>247</v>
      </c>
      <c r="I13" s="2" t="s">
        <v>248</v>
      </c>
      <c r="J13" s="2" t="s">
        <v>249</v>
      </c>
      <c r="K13" s="2" t="s">
        <v>250</v>
      </c>
      <c r="L13" s="2">
        <v>17</v>
      </c>
      <c r="M13" s="2">
        <v>11</v>
      </c>
      <c r="N13" s="2" t="s">
        <v>251</v>
      </c>
      <c r="O13" s="2" t="s">
        <v>252</v>
      </c>
      <c r="P13" s="3" t="b">
        <v>1</v>
      </c>
      <c r="Q13" s="2" t="s">
        <v>237</v>
      </c>
      <c r="R13" s="3" t="b">
        <v>0</v>
      </c>
      <c r="S13" s="2" t="s">
        <v>253</v>
      </c>
      <c r="T13" s="2" t="s">
        <v>254</v>
      </c>
      <c r="U13" s="2"/>
      <c r="V13" s="2" t="s">
        <v>107</v>
      </c>
      <c r="W13" s="2" t="s">
        <v>202</v>
      </c>
      <c r="X13" s="2">
        <v>2</v>
      </c>
      <c r="Y13" s="2" t="s">
        <v>255</v>
      </c>
    </row>
    <row r="14" spans="1:25" ht="28">
      <c r="A14" s="2" t="s">
        <v>256</v>
      </c>
      <c r="B14" s="2" t="s">
        <v>257</v>
      </c>
      <c r="C14" s="2">
        <v>2020</v>
      </c>
      <c r="D14" s="2" t="s">
        <v>126</v>
      </c>
      <c r="E14" s="2" t="s">
        <v>258</v>
      </c>
      <c r="F14" s="2" t="s">
        <v>259</v>
      </c>
      <c r="G14" s="2" t="s">
        <v>97</v>
      </c>
      <c r="H14" s="2" t="s">
        <v>98</v>
      </c>
      <c r="I14" s="2" t="s">
        <v>130</v>
      </c>
      <c r="J14" s="2" t="s">
        <v>260</v>
      </c>
      <c r="K14" s="2">
        <v>81</v>
      </c>
      <c r="L14" s="2">
        <v>58</v>
      </c>
      <c r="M14" s="2">
        <v>23</v>
      </c>
      <c r="N14" s="2" t="s">
        <v>261</v>
      </c>
      <c r="O14" s="2" t="s">
        <v>262</v>
      </c>
      <c r="P14" s="3" t="b">
        <v>1</v>
      </c>
      <c r="Q14" s="2" t="s">
        <v>120</v>
      </c>
      <c r="R14" s="3" t="b">
        <v>1</v>
      </c>
      <c r="S14" s="2" t="s">
        <v>263</v>
      </c>
      <c r="T14" s="2" t="s">
        <v>190</v>
      </c>
      <c r="U14" s="2" t="s">
        <v>191</v>
      </c>
      <c r="V14" s="2" t="s">
        <v>107</v>
      </c>
      <c r="W14" s="2" t="s">
        <v>137</v>
      </c>
      <c r="X14" s="2">
        <v>3</v>
      </c>
      <c r="Y14" s="2" t="s">
        <v>264</v>
      </c>
    </row>
    <row r="15" spans="1:25" ht="28">
      <c r="A15" s="2" t="s">
        <v>265</v>
      </c>
      <c r="B15" s="2" t="s">
        <v>266</v>
      </c>
      <c r="C15" s="2">
        <v>2020</v>
      </c>
      <c r="D15" s="2" t="s">
        <v>267</v>
      </c>
      <c r="E15" s="2" t="s">
        <v>268</v>
      </c>
      <c r="F15" s="2" t="s">
        <v>269</v>
      </c>
      <c r="G15" s="2" t="s">
        <v>97</v>
      </c>
      <c r="H15" s="2" t="s">
        <v>98</v>
      </c>
      <c r="I15" s="2" t="s">
        <v>145</v>
      </c>
      <c r="J15" s="2" t="s">
        <v>271</v>
      </c>
      <c r="K15" s="2">
        <v>70</v>
      </c>
      <c r="L15" s="2">
        <v>51</v>
      </c>
      <c r="M15" s="2">
        <v>19</v>
      </c>
      <c r="N15" s="2" t="s">
        <v>272</v>
      </c>
      <c r="O15" s="2" t="s">
        <v>273</v>
      </c>
      <c r="P15" s="3" t="b">
        <v>1</v>
      </c>
      <c r="Q15" s="2" t="s">
        <v>120</v>
      </c>
      <c r="R15" s="3" t="b">
        <v>1</v>
      </c>
      <c r="S15" s="2" t="s">
        <v>274</v>
      </c>
      <c r="T15" s="2" t="s">
        <v>275</v>
      </c>
      <c r="U15" s="2"/>
      <c r="V15" s="2" t="s">
        <v>107</v>
      </c>
      <c r="W15" s="2" t="s">
        <v>137</v>
      </c>
      <c r="X15" s="2">
        <v>3</v>
      </c>
      <c r="Y15" s="2" t="s">
        <v>276</v>
      </c>
    </row>
    <row r="16" spans="1:25" ht="28">
      <c r="A16" s="2" t="s">
        <v>277</v>
      </c>
      <c r="B16" s="2" t="s">
        <v>278</v>
      </c>
      <c r="C16" s="2">
        <v>2020</v>
      </c>
      <c r="D16" s="2" t="s">
        <v>206</v>
      </c>
      <c r="E16" s="2" t="s">
        <v>279</v>
      </c>
      <c r="F16" s="2" t="s">
        <v>280</v>
      </c>
      <c r="G16" s="2" t="s">
        <v>97</v>
      </c>
      <c r="H16" s="2" t="s">
        <v>98</v>
      </c>
      <c r="I16" s="2" t="s">
        <v>282</v>
      </c>
      <c r="J16" s="2" t="s">
        <v>283</v>
      </c>
      <c r="K16" s="2">
        <v>57</v>
      </c>
      <c r="L16" s="2">
        <v>29</v>
      </c>
      <c r="M16" s="2">
        <v>23</v>
      </c>
      <c r="N16" s="2" t="s">
        <v>284</v>
      </c>
      <c r="O16" s="2" t="s">
        <v>163</v>
      </c>
      <c r="P16" s="3" t="b">
        <v>1</v>
      </c>
      <c r="Q16" s="2" t="s">
        <v>120</v>
      </c>
      <c r="R16" s="3" t="b">
        <v>1</v>
      </c>
      <c r="S16" s="2" t="s">
        <v>285</v>
      </c>
      <c r="T16" s="2" t="s">
        <v>286</v>
      </c>
      <c r="U16" s="2" t="s">
        <v>287</v>
      </c>
      <c r="V16" s="2" t="s">
        <v>107</v>
      </c>
      <c r="W16" s="2" t="s">
        <v>137</v>
      </c>
      <c r="X16" s="2">
        <v>3</v>
      </c>
      <c r="Y16" s="2" t="s">
        <v>288</v>
      </c>
    </row>
    <row r="17" spans="1:25" ht="28">
      <c r="A17" s="2" t="s">
        <v>289</v>
      </c>
      <c r="B17" s="2" t="s">
        <v>290</v>
      </c>
      <c r="C17" s="2">
        <v>2020</v>
      </c>
      <c r="D17" s="2" t="s">
        <v>126</v>
      </c>
      <c r="E17" s="2" t="s">
        <v>291</v>
      </c>
      <c r="F17" s="2" t="s">
        <v>292</v>
      </c>
      <c r="G17" s="2" t="s">
        <v>97</v>
      </c>
      <c r="H17" s="2" t="s">
        <v>98</v>
      </c>
      <c r="I17" s="2" t="s">
        <v>293</v>
      </c>
      <c r="J17" s="2" t="s">
        <v>260</v>
      </c>
      <c r="K17" s="2">
        <v>36</v>
      </c>
      <c r="L17" s="2">
        <v>18</v>
      </c>
      <c r="M17" s="2">
        <v>18</v>
      </c>
      <c r="N17" s="2" t="s">
        <v>294</v>
      </c>
      <c r="O17" s="2" t="s">
        <v>295</v>
      </c>
      <c r="P17" s="3" t="b">
        <v>1</v>
      </c>
      <c r="Q17" s="2" t="s">
        <v>120</v>
      </c>
      <c r="R17" s="3" t="b">
        <v>1</v>
      </c>
      <c r="S17" s="2" t="s">
        <v>296</v>
      </c>
      <c r="T17" s="2" t="s">
        <v>297</v>
      </c>
      <c r="U17" s="2"/>
      <c r="V17" s="2" t="s">
        <v>107</v>
      </c>
      <c r="W17" s="2" t="s">
        <v>137</v>
      </c>
      <c r="X17" s="2">
        <v>3</v>
      </c>
      <c r="Y17" s="2" t="s">
        <v>298</v>
      </c>
    </row>
    <row r="18" spans="1:25" ht="28">
      <c r="A18" s="2" t="s">
        <v>299</v>
      </c>
      <c r="B18" s="2" t="s">
        <v>300</v>
      </c>
      <c r="C18" s="2">
        <v>2025</v>
      </c>
      <c r="D18" s="2" t="s">
        <v>301</v>
      </c>
      <c r="E18" s="2" t="s">
        <v>302</v>
      </c>
      <c r="F18" s="2" t="s">
        <v>303</v>
      </c>
      <c r="G18" s="2" t="s">
        <v>97</v>
      </c>
      <c r="H18" s="2" t="s">
        <v>98</v>
      </c>
      <c r="I18" s="2" t="s">
        <v>304</v>
      </c>
      <c r="J18" s="2" t="s">
        <v>260</v>
      </c>
      <c r="K18" s="2">
        <v>206</v>
      </c>
      <c r="L18" s="2">
        <v>30</v>
      </c>
      <c r="M18" s="2">
        <v>176</v>
      </c>
      <c r="N18" s="2" t="s">
        <v>305</v>
      </c>
      <c r="O18" s="2" t="s">
        <v>212</v>
      </c>
      <c r="P18" s="3" t="b">
        <v>1</v>
      </c>
      <c r="Q18" s="2" t="s">
        <v>120</v>
      </c>
      <c r="R18" s="3" t="b">
        <v>1</v>
      </c>
      <c r="S18" s="2" t="s">
        <v>306</v>
      </c>
      <c r="T18" s="2" t="s">
        <v>307</v>
      </c>
      <c r="U18" s="2"/>
      <c r="V18" s="2" t="s">
        <v>107</v>
      </c>
      <c r="W18" s="2" t="s">
        <v>137</v>
      </c>
      <c r="X18" s="2">
        <v>3</v>
      </c>
      <c r="Y18" s="2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E21" sqref="E21"/>
    </sheetView>
  </sheetViews>
  <sheetFormatPr defaultRowHeight="14"/>
  <cols>
    <col min="1" max="1" width="24" customWidth="1"/>
    <col min="2" max="2" width="25" customWidth="1"/>
    <col min="3" max="3" width="22" customWidth="1"/>
    <col min="4" max="5" width="14" customWidth="1"/>
    <col min="6" max="6" width="75" customWidth="1"/>
  </cols>
  <sheetData>
    <row r="1" spans="1:6">
      <c r="A1" s="1" t="s">
        <v>66</v>
      </c>
      <c r="B1" s="1" t="s">
        <v>309</v>
      </c>
      <c r="C1" s="1" t="s">
        <v>310</v>
      </c>
      <c r="D1" s="1" t="s">
        <v>90</v>
      </c>
      <c r="E1" s="1" t="s">
        <v>311</v>
      </c>
      <c r="F1" s="1" t="s">
        <v>91</v>
      </c>
    </row>
    <row r="2" spans="1:6">
      <c r="A2" s="2" t="s">
        <v>124</v>
      </c>
      <c r="B2" s="2" t="s">
        <v>312</v>
      </c>
      <c r="C2" s="2" t="s">
        <v>137</v>
      </c>
      <c r="D2" s="2">
        <v>3</v>
      </c>
      <c r="E2" s="3" t="b">
        <v>1</v>
      </c>
      <c r="F2" s="2" t="s">
        <v>313</v>
      </c>
    </row>
    <row r="3" spans="1:6">
      <c r="A3" s="2" t="s">
        <v>227</v>
      </c>
      <c r="B3" s="2" t="s">
        <v>312</v>
      </c>
      <c r="C3" s="2" t="s">
        <v>202</v>
      </c>
      <c r="D3" s="2">
        <v>2</v>
      </c>
      <c r="E3" s="3" t="b">
        <v>0</v>
      </c>
      <c r="F3" s="2" t="s">
        <v>314</v>
      </c>
    </row>
    <row r="4" spans="1:6">
      <c r="A4" s="2" t="s">
        <v>256</v>
      </c>
      <c r="B4" s="2" t="s">
        <v>312</v>
      </c>
      <c r="C4" s="2" t="s">
        <v>137</v>
      </c>
      <c r="D4" s="2">
        <v>3</v>
      </c>
      <c r="E4" s="3" t="b">
        <v>1</v>
      </c>
      <c r="F4" s="2" t="s">
        <v>315</v>
      </c>
    </row>
    <row r="5" spans="1:6">
      <c r="A5" s="2" t="s">
        <v>299</v>
      </c>
      <c r="B5" s="2" t="s">
        <v>312</v>
      </c>
      <c r="C5" s="2" t="s">
        <v>137</v>
      </c>
      <c r="D5" s="2">
        <v>3</v>
      </c>
      <c r="E5" s="3" t="b">
        <v>1</v>
      </c>
      <c r="F5" s="2" t="s">
        <v>316</v>
      </c>
    </row>
    <row r="6" spans="1:6">
      <c r="A6" s="2" t="s">
        <v>155</v>
      </c>
      <c r="B6" s="2" t="s">
        <v>317</v>
      </c>
      <c r="C6" s="2" t="s">
        <v>167</v>
      </c>
      <c r="D6" s="2">
        <v>1</v>
      </c>
      <c r="E6" s="3" t="b">
        <v>1</v>
      </c>
      <c r="F6" s="2" t="s">
        <v>318</v>
      </c>
    </row>
    <row r="7" spans="1:6">
      <c r="A7" s="2" t="s">
        <v>92</v>
      </c>
      <c r="B7" s="2" t="s">
        <v>319</v>
      </c>
      <c r="C7" s="2" t="s">
        <v>108</v>
      </c>
      <c r="D7" s="2">
        <v>2</v>
      </c>
      <c r="E7" s="3" t="b">
        <v>1</v>
      </c>
      <c r="F7" s="2" t="s">
        <v>320</v>
      </c>
    </row>
    <row r="8" spans="1:6">
      <c r="A8" s="2" t="s">
        <v>110</v>
      </c>
      <c r="B8" s="2" t="s">
        <v>319</v>
      </c>
      <c r="C8" s="2" t="s">
        <v>108</v>
      </c>
      <c r="D8" s="2">
        <v>2</v>
      </c>
      <c r="E8" s="3" t="b">
        <v>1</v>
      </c>
      <c r="F8" s="2" t="s">
        <v>321</v>
      </c>
    </row>
    <row r="9" spans="1:6">
      <c r="A9" s="2" t="s">
        <v>139</v>
      </c>
      <c r="B9" s="2" t="s">
        <v>319</v>
      </c>
      <c r="C9" s="2" t="s">
        <v>108</v>
      </c>
      <c r="D9" s="2">
        <v>2</v>
      </c>
      <c r="E9" s="3" t="b">
        <v>1</v>
      </c>
      <c r="F9" s="2" t="s">
        <v>322</v>
      </c>
    </row>
    <row r="10" spans="1:6">
      <c r="A10" s="2" t="s">
        <v>169</v>
      </c>
      <c r="B10" s="2" t="s">
        <v>319</v>
      </c>
      <c r="C10" s="2" t="s">
        <v>108</v>
      </c>
      <c r="D10" s="2">
        <v>2</v>
      </c>
      <c r="E10" s="3" t="b">
        <v>1</v>
      </c>
      <c r="F10" s="2" t="s">
        <v>323</v>
      </c>
    </row>
    <row r="11" spans="1:6">
      <c r="A11" s="2" t="s">
        <v>179</v>
      </c>
      <c r="B11" s="2" t="s">
        <v>324</v>
      </c>
      <c r="C11" s="2" t="s">
        <v>108</v>
      </c>
      <c r="D11" s="2">
        <v>2</v>
      </c>
      <c r="E11" s="3" t="b">
        <v>1</v>
      </c>
      <c r="F11" s="2" t="s">
        <v>325</v>
      </c>
    </row>
    <row r="12" spans="1:6">
      <c r="A12" s="2" t="s">
        <v>193</v>
      </c>
      <c r="B12" s="2" t="s">
        <v>319</v>
      </c>
      <c r="C12" s="2" t="s">
        <v>202</v>
      </c>
      <c r="D12" s="2">
        <v>2</v>
      </c>
      <c r="E12" s="3" t="b">
        <v>1</v>
      </c>
      <c r="F12" s="2" t="s">
        <v>326</v>
      </c>
    </row>
    <row r="13" spans="1:6">
      <c r="A13" s="2" t="s">
        <v>204</v>
      </c>
      <c r="B13" s="2" t="s">
        <v>319</v>
      </c>
      <c r="C13" s="2" t="s">
        <v>137</v>
      </c>
      <c r="D13" s="2">
        <v>3</v>
      </c>
      <c r="E13" s="3" t="b">
        <v>1</v>
      </c>
      <c r="F13" s="2" t="s">
        <v>327</v>
      </c>
    </row>
    <row r="14" spans="1:6">
      <c r="A14" s="2" t="s">
        <v>216</v>
      </c>
      <c r="B14" s="2" t="s">
        <v>319</v>
      </c>
      <c r="C14" s="2" t="s">
        <v>137</v>
      </c>
      <c r="D14" s="2">
        <v>3</v>
      </c>
      <c r="E14" s="3" t="b">
        <v>1</v>
      </c>
      <c r="F14" s="2" t="s">
        <v>328</v>
      </c>
    </row>
    <row r="15" spans="1:6">
      <c r="A15" s="2" t="s">
        <v>241</v>
      </c>
      <c r="B15" s="2" t="s">
        <v>319</v>
      </c>
      <c r="C15" s="2" t="s">
        <v>202</v>
      </c>
      <c r="D15" s="2">
        <v>2</v>
      </c>
      <c r="E15" s="3" t="b">
        <v>0</v>
      </c>
      <c r="F15" s="2" t="s">
        <v>329</v>
      </c>
    </row>
    <row r="16" spans="1:6">
      <c r="A16" s="2" t="s">
        <v>277</v>
      </c>
      <c r="B16" s="2" t="s">
        <v>319</v>
      </c>
      <c r="C16" s="2" t="s">
        <v>137</v>
      </c>
      <c r="D16" s="2">
        <v>3</v>
      </c>
      <c r="E16" s="3" t="b">
        <v>1</v>
      </c>
      <c r="F16" s="2" t="s">
        <v>330</v>
      </c>
    </row>
    <row r="17" spans="1:6" ht="28">
      <c r="A17" s="2" t="s">
        <v>289</v>
      </c>
      <c r="B17" s="2" t="s">
        <v>331</v>
      </c>
      <c r="C17" s="2" t="s">
        <v>137</v>
      </c>
      <c r="D17" s="2">
        <v>3</v>
      </c>
      <c r="E17" s="3" t="b">
        <v>1</v>
      </c>
      <c r="F17" s="2" t="s">
        <v>332</v>
      </c>
    </row>
    <row r="18" spans="1:6">
      <c r="A18" s="2" t="s">
        <v>265</v>
      </c>
      <c r="B18" s="2" t="s">
        <v>319</v>
      </c>
      <c r="C18" s="2" t="s">
        <v>137</v>
      </c>
      <c r="D18" s="2">
        <v>3</v>
      </c>
      <c r="E18" s="3" t="b">
        <v>1</v>
      </c>
      <c r="F18" s="2" t="s">
        <v>333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B1" sqref="B1:B1048576"/>
    </sheetView>
  </sheetViews>
  <sheetFormatPr defaultRowHeight="14"/>
  <cols>
    <col min="1" max="1" width="34" customWidth="1"/>
    <col min="2" max="2" width="48" customWidth="1"/>
    <col min="3" max="3" width="35" customWidth="1"/>
    <col min="4" max="4" width="85" customWidth="1"/>
    <col min="5" max="5" width="75" customWidth="1"/>
  </cols>
  <sheetData>
    <row r="1" spans="1:5">
      <c r="A1" s="1" t="s">
        <v>87</v>
      </c>
      <c r="B1" s="1" t="s">
        <v>334</v>
      </c>
      <c r="C1" s="1" t="s">
        <v>335</v>
      </c>
      <c r="D1" s="1" t="s">
        <v>336</v>
      </c>
      <c r="E1" s="1" t="s">
        <v>337</v>
      </c>
    </row>
    <row r="2" spans="1:5">
      <c r="A2" s="2" t="s">
        <v>106</v>
      </c>
      <c r="B2" s="2" t="s">
        <v>338</v>
      </c>
      <c r="C2" s="2" t="s">
        <v>339</v>
      </c>
      <c r="D2" s="2" t="s">
        <v>340</v>
      </c>
      <c r="E2" s="2" t="s">
        <v>341</v>
      </c>
    </row>
    <row r="3" spans="1:5">
      <c r="A3" s="2" t="s">
        <v>106</v>
      </c>
      <c r="B3" s="2" t="s">
        <v>342</v>
      </c>
      <c r="C3" s="2" t="s">
        <v>343</v>
      </c>
      <c r="D3" s="2" t="s">
        <v>344</v>
      </c>
      <c r="E3" s="2" t="s">
        <v>345</v>
      </c>
    </row>
    <row r="4" spans="1:5" ht="28">
      <c r="A4" s="2" t="s">
        <v>191</v>
      </c>
      <c r="B4" s="2" t="s">
        <v>346</v>
      </c>
      <c r="C4" s="2" t="s">
        <v>347</v>
      </c>
      <c r="D4" s="2" t="s">
        <v>348</v>
      </c>
      <c r="E4" s="2" t="s">
        <v>349</v>
      </c>
    </row>
    <row r="5" spans="1:5" ht="28">
      <c r="A5" s="2" t="s">
        <v>152</v>
      </c>
      <c r="B5" s="2" t="s">
        <v>350</v>
      </c>
      <c r="C5" s="2" t="s">
        <v>351</v>
      </c>
      <c r="D5" s="2" t="s">
        <v>352</v>
      </c>
      <c r="E5" s="2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25"/>
  <sheetViews>
    <sheetView workbookViewId="0">
      <selection activeCell="AH1" sqref="AG1:AH1048576"/>
    </sheetView>
  </sheetViews>
  <sheetFormatPr defaultRowHeight="14"/>
  <cols>
    <col min="1" max="1" width="12" customWidth="1"/>
    <col min="2" max="2" width="24" customWidth="1"/>
    <col min="3" max="3" width="8" customWidth="1"/>
    <col min="4" max="4" width="14" customWidth="1"/>
    <col min="5" max="6" width="22" customWidth="1"/>
    <col min="7" max="7" width="30" customWidth="1"/>
    <col min="8" max="8" width="18" customWidth="1"/>
    <col min="9" max="9" width="32" customWidth="1"/>
    <col min="10" max="10" width="26" customWidth="1"/>
    <col min="11" max="11" width="34" customWidth="1"/>
    <col min="12" max="12" width="25" customWidth="1"/>
    <col min="13" max="13" width="55" customWidth="1"/>
    <col min="14" max="14" width="20" customWidth="1"/>
    <col min="15" max="19" width="30" customWidth="1"/>
    <col min="20" max="20" width="28" customWidth="1"/>
    <col min="21" max="21" width="24" customWidth="1"/>
    <col min="22" max="22" width="22" customWidth="1"/>
    <col min="23" max="23" width="14" customWidth="1"/>
    <col min="24" max="24" width="16" customWidth="1"/>
    <col min="25" max="25" width="28" customWidth="1"/>
    <col min="26" max="27" width="25" customWidth="1"/>
    <col min="28" max="29" width="18" customWidth="1"/>
    <col min="30" max="30" width="60" customWidth="1"/>
    <col min="31" max="31" width="30" customWidth="1"/>
    <col min="32" max="32" width="55" customWidth="1"/>
    <col min="33" max="33" width="65" customWidth="1"/>
  </cols>
  <sheetData>
    <row r="1" spans="1:33" ht="28">
      <c r="A1" s="1" t="s">
        <v>354</v>
      </c>
      <c r="B1" s="1" t="s">
        <v>66</v>
      </c>
      <c r="C1" s="1" t="s">
        <v>68</v>
      </c>
      <c r="D1" s="1" t="s">
        <v>69</v>
      </c>
      <c r="E1" s="1" t="s">
        <v>84</v>
      </c>
      <c r="F1" s="1" t="s">
        <v>83</v>
      </c>
      <c r="G1" s="1" t="s">
        <v>355</v>
      </c>
      <c r="H1" s="1" t="s">
        <v>74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369</v>
      </c>
      <c r="W1" s="1" t="s">
        <v>370</v>
      </c>
      <c r="X1" s="1" t="s">
        <v>371</v>
      </c>
      <c r="Y1" s="1" t="s">
        <v>372</v>
      </c>
      <c r="Z1" s="1" t="s">
        <v>373</v>
      </c>
      <c r="AA1" s="1" t="s">
        <v>374</v>
      </c>
      <c r="AB1" s="1" t="s">
        <v>375</v>
      </c>
      <c r="AC1" s="1" t="s">
        <v>376</v>
      </c>
      <c r="AD1" s="1" t="s">
        <v>377</v>
      </c>
      <c r="AE1" s="1" t="s">
        <v>378</v>
      </c>
      <c r="AF1" s="1" t="s">
        <v>379</v>
      </c>
      <c r="AG1" s="1" t="s">
        <v>91</v>
      </c>
    </row>
    <row r="2" spans="1:33" ht="42">
      <c r="A2" s="2" t="s">
        <v>381</v>
      </c>
      <c r="B2" s="2" t="s">
        <v>155</v>
      </c>
      <c r="C2" s="2">
        <v>2023</v>
      </c>
      <c r="D2" s="2" t="s">
        <v>141</v>
      </c>
      <c r="E2" s="3" t="b">
        <v>1</v>
      </c>
      <c r="F2" s="2" t="s">
        <v>164</v>
      </c>
      <c r="G2" s="2" t="s">
        <v>382</v>
      </c>
      <c r="H2" s="2" t="s">
        <v>98</v>
      </c>
      <c r="I2" s="2" t="s">
        <v>383</v>
      </c>
      <c r="J2" s="2" t="s">
        <v>384</v>
      </c>
      <c r="K2" s="2" t="s">
        <v>385</v>
      </c>
      <c r="L2" s="2" t="s">
        <v>386</v>
      </c>
      <c r="M2" s="2" t="s">
        <v>387</v>
      </c>
      <c r="N2" s="2" t="s">
        <v>388</v>
      </c>
      <c r="O2" s="2" t="s">
        <v>389</v>
      </c>
      <c r="P2" s="2" t="s">
        <v>390</v>
      </c>
      <c r="Q2" s="2" t="s">
        <v>391</v>
      </c>
      <c r="R2" s="2" t="s">
        <v>392</v>
      </c>
      <c r="S2" s="2" t="s">
        <v>393</v>
      </c>
      <c r="T2" s="2"/>
      <c r="U2" s="2"/>
      <c r="V2" s="2" t="s">
        <v>394</v>
      </c>
      <c r="W2" s="2">
        <v>1E-3</v>
      </c>
      <c r="X2" s="2" t="s">
        <v>395</v>
      </c>
      <c r="Y2" s="2" t="s">
        <v>396</v>
      </c>
      <c r="Z2" s="2" t="s">
        <v>107</v>
      </c>
      <c r="AA2" s="2" t="s">
        <v>107</v>
      </c>
      <c r="AB2" s="2">
        <v>1</v>
      </c>
      <c r="AC2" s="2" t="s">
        <v>397</v>
      </c>
      <c r="AD2" s="2" t="s">
        <v>398</v>
      </c>
      <c r="AE2" s="2" t="s">
        <v>399</v>
      </c>
      <c r="AF2" s="2" t="s">
        <v>162</v>
      </c>
      <c r="AG2" s="2"/>
    </row>
    <row r="3" spans="1:33" ht="42">
      <c r="A3" s="2" t="s">
        <v>400</v>
      </c>
      <c r="B3" s="2" t="s">
        <v>155</v>
      </c>
      <c r="C3" s="2">
        <v>2023</v>
      </c>
      <c r="D3" s="2" t="s">
        <v>141</v>
      </c>
      <c r="E3" s="3" t="b">
        <v>1</v>
      </c>
      <c r="F3" s="2" t="s">
        <v>164</v>
      </c>
      <c r="G3" s="2" t="s">
        <v>382</v>
      </c>
      <c r="H3" s="2" t="s">
        <v>98</v>
      </c>
      <c r="I3" s="2" t="s">
        <v>383</v>
      </c>
      <c r="J3" s="2" t="s">
        <v>384</v>
      </c>
      <c r="K3" s="2" t="s">
        <v>385</v>
      </c>
      <c r="L3" s="2" t="s">
        <v>386</v>
      </c>
      <c r="M3" s="2" t="s">
        <v>401</v>
      </c>
      <c r="N3" s="2" t="s">
        <v>388</v>
      </c>
      <c r="O3" s="2" t="s">
        <v>402</v>
      </c>
      <c r="P3" s="2" t="s">
        <v>403</v>
      </c>
      <c r="Q3" s="2" t="s">
        <v>391</v>
      </c>
      <c r="R3" s="2" t="s">
        <v>404</v>
      </c>
      <c r="S3" s="2" t="s">
        <v>405</v>
      </c>
      <c r="T3" s="2"/>
      <c r="U3" s="2"/>
      <c r="V3" s="2" t="s">
        <v>406</v>
      </c>
      <c r="W3" s="2">
        <v>5.0000000000000001E-3</v>
      </c>
      <c r="X3" s="2" t="s">
        <v>395</v>
      </c>
      <c r="Y3" s="2" t="s">
        <v>396</v>
      </c>
      <c r="Z3" s="2" t="s">
        <v>107</v>
      </c>
      <c r="AA3" s="2" t="s">
        <v>107</v>
      </c>
      <c r="AB3" s="2">
        <v>-1</v>
      </c>
      <c r="AC3" s="2" t="s">
        <v>407</v>
      </c>
      <c r="AD3" s="2" t="s">
        <v>408</v>
      </c>
      <c r="AE3" s="2" t="s">
        <v>399</v>
      </c>
      <c r="AF3" s="2" t="s">
        <v>162</v>
      </c>
      <c r="AG3" s="2"/>
    </row>
    <row r="4" spans="1:33" ht="42">
      <c r="A4" s="2" t="s">
        <v>409</v>
      </c>
      <c r="B4" s="2" t="s">
        <v>155</v>
      </c>
      <c r="C4" s="2">
        <v>2023</v>
      </c>
      <c r="D4" s="2" t="s">
        <v>141</v>
      </c>
      <c r="E4" s="3" t="b">
        <v>1</v>
      </c>
      <c r="F4" s="2" t="s">
        <v>164</v>
      </c>
      <c r="G4" s="2" t="s">
        <v>382</v>
      </c>
      <c r="H4" s="2" t="s">
        <v>98</v>
      </c>
      <c r="I4" s="2" t="s">
        <v>383</v>
      </c>
      <c r="J4" s="2" t="s">
        <v>384</v>
      </c>
      <c r="K4" s="2" t="s">
        <v>385</v>
      </c>
      <c r="L4" s="2" t="s">
        <v>410</v>
      </c>
      <c r="M4" s="2" t="s">
        <v>411</v>
      </c>
      <c r="N4" s="2" t="s">
        <v>388</v>
      </c>
      <c r="O4" s="2" t="s">
        <v>412</v>
      </c>
      <c r="P4" s="2" t="s">
        <v>413</v>
      </c>
      <c r="Q4" s="2" t="s">
        <v>391</v>
      </c>
      <c r="R4" s="2" t="s">
        <v>414</v>
      </c>
      <c r="S4" s="2" t="s">
        <v>415</v>
      </c>
      <c r="T4" s="2"/>
      <c r="U4" s="2"/>
      <c r="V4" s="2" t="s">
        <v>394</v>
      </c>
      <c r="W4" s="2">
        <v>1E-3</v>
      </c>
      <c r="X4" s="2" t="s">
        <v>395</v>
      </c>
      <c r="Y4" s="2" t="s">
        <v>396</v>
      </c>
      <c r="Z4" s="2" t="s">
        <v>107</v>
      </c>
      <c r="AA4" s="2" t="s">
        <v>107</v>
      </c>
      <c r="AB4" s="2">
        <v>1</v>
      </c>
      <c r="AC4" s="2" t="s">
        <v>397</v>
      </c>
      <c r="AD4" s="2" t="s">
        <v>398</v>
      </c>
      <c r="AE4" s="2" t="s">
        <v>399</v>
      </c>
      <c r="AF4" s="2" t="s">
        <v>162</v>
      </c>
      <c r="AG4" s="2"/>
    </row>
    <row r="5" spans="1:33" ht="42">
      <c r="A5" s="2" t="s">
        <v>416</v>
      </c>
      <c r="B5" s="2" t="s">
        <v>155</v>
      </c>
      <c r="C5" s="2">
        <v>2023</v>
      </c>
      <c r="D5" s="2" t="s">
        <v>141</v>
      </c>
      <c r="E5" s="3" t="b">
        <v>1</v>
      </c>
      <c r="F5" s="2" t="s">
        <v>164</v>
      </c>
      <c r="G5" s="2" t="s">
        <v>382</v>
      </c>
      <c r="H5" s="2" t="s">
        <v>98</v>
      </c>
      <c r="I5" s="2" t="s">
        <v>383</v>
      </c>
      <c r="J5" s="2" t="s">
        <v>384</v>
      </c>
      <c r="K5" s="2" t="s">
        <v>385</v>
      </c>
      <c r="L5" s="2" t="s">
        <v>386</v>
      </c>
      <c r="M5" s="2" t="s">
        <v>417</v>
      </c>
      <c r="N5" s="2" t="s">
        <v>388</v>
      </c>
      <c r="O5" s="2" t="s">
        <v>418</v>
      </c>
      <c r="P5" s="2" t="s">
        <v>419</v>
      </c>
      <c r="Q5" s="2" t="s">
        <v>391</v>
      </c>
      <c r="R5" s="2" t="s">
        <v>420</v>
      </c>
      <c r="S5" s="2" t="s">
        <v>421</v>
      </c>
      <c r="T5" s="2"/>
      <c r="U5" s="2"/>
      <c r="V5" s="2" t="s">
        <v>422</v>
      </c>
      <c r="W5" s="2">
        <v>1.4E-2</v>
      </c>
      <c r="X5" s="2" t="s">
        <v>395</v>
      </c>
      <c r="Y5" s="2" t="s">
        <v>396</v>
      </c>
      <c r="Z5" s="2" t="s">
        <v>107</v>
      </c>
      <c r="AA5" s="2" t="s">
        <v>107</v>
      </c>
      <c r="AB5" s="2">
        <v>-1</v>
      </c>
      <c r="AC5" s="2" t="s">
        <v>407</v>
      </c>
      <c r="AD5" s="2" t="s">
        <v>423</v>
      </c>
      <c r="AE5" s="2" t="s">
        <v>399</v>
      </c>
      <c r="AF5" s="2" t="s">
        <v>162</v>
      </c>
      <c r="AG5" s="2"/>
    </row>
    <row r="6" spans="1:33" ht="42">
      <c r="A6" s="2" t="s">
        <v>424</v>
      </c>
      <c r="B6" s="2" t="s">
        <v>155</v>
      </c>
      <c r="C6" s="2">
        <v>2023</v>
      </c>
      <c r="D6" s="2" t="s">
        <v>141</v>
      </c>
      <c r="E6" s="3" t="b">
        <v>1</v>
      </c>
      <c r="F6" s="2" t="s">
        <v>164</v>
      </c>
      <c r="G6" s="2" t="s">
        <v>382</v>
      </c>
      <c r="H6" s="2" t="s">
        <v>98</v>
      </c>
      <c r="I6" s="2" t="s">
        <v>383</v>
      </c>
      <c r="J6" s="2" t="s">
        <v>384</v>
      </c>
      <c r="K6" s="2" t="s">
        <v>385</v>
      </c>
      <c r="L6" s="2" t="s">
        <v>386</v>
      </c>
      <c r="M6" s="2" t="s">
        <v>425</v>
      </c>
      <c r="N6" s="2" t="s">
        <v>388</v>
      </c>
      <c r="O6" s="2" t="s">
        <v>426</v>
      </c>
      <c r="P6" s="2" t="s">
        <v>427</v>
      </c>
      <c r="Q6" s="2" t="s">
        <v>391</v>
      </c>
      <c r="R6" s="2" t="s">
        <v>428</v>
      </c>
      <c r="S6" s="2" t="s">
        <v>429</v>
      </c>
      <c r="T6" s="2"/>
      <c r="U6" s="2"/>
      <c r="V6" s="2" t="s">
        <v>394</v>
      </c>
      <c r="W6" s="2">
        <v>1E-3</v>
      </c>
      <c r="X6" s="2" t="s">
        <v>395</v>
      </c>
      <c r="Y6" s="2" t="s">
        <v>396</v>
      </c>
      <c r="Z6" s="2" t="s">
        <v>107</v>
      </c>
      <c r="AA6" s="2" t="s">
        <v>107</v>
      </c>
      <c r="AB6" s="2">
        <v>1</v>
      </c>
      <c r="AC6" s="2" t="s">
        <v>397</v>
      </c>
      <c r="AD6" s="2" t="s">
        <v>430</v>
      </c>
      <c r="AE6" s="2" t="s">
        <v>399</v>
      </c>
      <c r="AF6" s="2" t="s">
        <v>162</v>
      </c>
      <c r="AG6" s="2"/>
    </row>
    <row r="7" spans="1:33" ht="42">
      <c r="A7" s="2" t="s">
        <v>431</v>
      </c>
      <c r="B7" s="2" t="s">
        <v>155</v>
      </c>
      <c r="C7" s="2">
        <v>2023</v>
      </c>
      <c r="D7" s="2" t="s">
        <v>141</v>
      </c>
      <c r="E7" s="3" t="b">
        <v>1</v>
      </c>
      <c r="F7" s="2" t="s">
        <v>164</v>
      </c>
      <c r="G7" s="2" t="s">
        <v>382</v>
      </c>
      <c r="H7" s="2" t="s">
        <v>98</v>
      </c>
      <c r="I7" s="2" t="s">
        <v>383</v>
      </c>
      <c r="J7" s="2" t="s">
        <v>384</v>
      </c>
      <c r="K7" s="2" t="s">
        <v>385</v>
      </c>
      <c r="L7" s="2" t="s">
        <v>386</v>
      </c>
      <c r="M7" s="2" t="s">
        <v>432</v>
      </c>
      <c r="N7" s="2" t="s">
        <v>388</v>
      </c>
      <c r="O7" s="2" t="s">
        <v>433</v>
      </c>
      <c r="P7" s="2" t="s">
        <v>434</v>
      </c>
      <c r="Q7" s="2" t="s">
        <v>391</v>
      </c>
      <c r="R7" s="2" t="s">
        <v>435</v>
      </c>
      <c r="S7" s="2" t="s">
        <v>436</v>
      </c>
      <c r="T7" s="2"/>
      <c r="U7" s="2"/>
      <c r="V7" s="2" t="s">
        <v>437</v>
      </c>
      <c r="W7" s="2">
        <v>1.7999999999999999E-2</v>
      </c>
      <c r="X7" s="2" t="s">
        <v>395</v>
      </c>
      <c r="Y7" s="2" t="s">
        <v>396</v>
      </c>
      <c r="Z7" s="2" t="s">
        <v>107</v>
      </c>
      <c r="AA7" s="2" t="s">
        <v>107</v>
      </c>
      <c r="AB7" s="2">
        <v>1</v>
      </c>
      <c r="AC7" s="2" t="s">
        <v>397</v>
      </c>
      <c r="AD7" s="2" t="s">
        <v>430</v>
      </c>
      <c r="AE7" s="2" t="s">
        <v>399</v>
      </c>
      <c r="AF7" s="2" t="s">
        <v>162</v>
      </c>
      <c r="AG7" s="2"/>
    </row>
    <row r="8" spans="1:33" ht="42">
      <c r="A8" s="2" t="s">
        <v>438</v>
      </c>
      <c r="B8" s="2" t="s">
        <v>155</v>
      </c>
      <c r="C8" s="2">
        <v>2023</v>
      </c>
      <c r="D8" s="2" t="s">
        <v>141</v>
      </c>
      <c r="E8" s="3" t="b">
        <v>1</v>
      </c>
      <c r="F8" s="2" t="s">
        <v>164</v>
      </c>
      <c r="G8" s="2" t="s">
        <v>439</v>
      </c>
      <c r="H8" s="2" t="s">
        <v>98</v>
      </c>
      <c r="I8" s="2" t="s">
        <v>440</v>
      </c>
      <c r="J8" s="2" t="s">
        <v>441</v>
      </c>
      <c r="K8" s="2" t="s">
        <v>442</v>
      </c>
      <c r="L8" s="2" t="s">
        <v>443</v>
      </c>
      <c r="M8" s="2" t="s">
        <v>444</v>
      </c>
      <c r="N8" s="2" t="s">
        <v>445</v>
      </c>
      <c r="O8" s="2" t="s">
        <v>446</v>
      </c>
      <c r="P8" s="2" t="s">
        <v>447</v>
      </c>
      <c r="Q8" s="2" t="s">
        <v>448</v>
      </c>
      <c r="R8" s="2" t="s">
        <v>449</v>
      </c>
      <c r="S8" s="2" t="s">
        <v>450</v>
      </c>
      <c r="T8" s="2"/>
      <c r="U8" s="2"/>
      <c r="V8" s="2" t="s">
        <v>451</v>
      </c>
      <c r="W8" s="2">
        <v>0.04</v>
      </c>
      <c r="X8" s="2" t="s">
        <v>395</v>
      </c>
      <c r="Y8" s="2" t="s">
        <v>452</v>
      </c>
      <c r="Z8" s="2" t="s">
        <v>107</v>
      </c>
      <c r="AA8" s="2" t="s">
        <v>107</v>
      </c>
      <c r="AB8" s="2">
        <v>1</v>
      </c>
      <c r="AC8" s="2" t="s">
        <v>397</v>
      </c>
      <c r="AD8" s="2" t="s">
        <v>453</v>
      </c>
      <c r="AE8" s="2" t="s">
        <v>399</v>
      </c>
      <c r="AF8" s="2" t="s">
        <v>162</v>
      </c>
      <c r="AG8" s="2"/>
    </row>
    <row r="9" spans="1:33" ht="42">
      <c r="A9" s="2" t="s">
        <v>454</v>
      </c>
      <c r="B9" s="2" t="s">
        <v>155</v>
      </c>
      <c r="C9" s="2">
        <v>2023</v>
      </c>
      <c r="D9" s="2" t="s">
        <v>141</v>
      </c>
      <c r="E9" s="3" t="b">
        <v>1</v>
      </c>
      <c r="F9" s="2" t="s">
        <v>164</v>
      </c>
      <c r="G9" s="2" t="s">
        <v>439</v>
      </c>
      <c r="H9" s="2" t="s">
        <v>98</v>
      </c>
      <c r="I9" s="2" t="s">
        <v>440</v>
      </c>
      <c r="J9" s="2" t="s">
        <v>441</v>
      </c>
      <c r="K9" s="2" t="s">
        <v>442</v>
      </c>
      <c r="L9" s="2" t="s">
        <v>443</v>
      </c>
      <c r="M9" s="2" t="s">
        <v>455</v>
      </c>
      <c r="N9" s="2" t="s">
        <v>445</v>
      </c>
      <c r="O9" s="2" t="s">
        <v>456</v>
      </c>
      <c r="P9" s="2" t="s">
        <v>457</v>
      </c>
      <c r="Q9" s="2" t="s">
        <v>448</v>
      </c>
      <c r="R9" s="2" t="s">
        <v>458</v>
      </c>
      <c r="S9" s="2" t="s">
        <v>459</v>
      </c>
      <c r="T9" s="2"/>
      <c r="U9" s="2"/>
      <c r="V9" s="2" t="s">
        <v>460</v>
      </c>
      <c r="W9" s="2">
        <v>0.02</v>
      </c>
      <c r="X9" s="2" t="s">
        <v>395</v>
      </c>
      <c r="Y9" s="2" t="s">
        <v>452</v>
      </c>
      <c r="Z9" s="2" t="s">
        <v>107</v>
      </c>
      <c r="AA9" s="2" t="s">
        <v>107</v>
      </c>
      <c r="AB9" s="2">
        <v>-1</v>
      </c>
      <c r="AC9" s="2" t="s">
        <v>407</v>
      </c>
      <c r="AD9" s="2" t="s">
        <v>461</v>
      </c>
      <c r="AE9" s="2" t="s">
        <v>399</v>
      </c>
      <c r="AF9" s="2" t="s">
        <v>162</v>
      </c>
      <c r="AG9" s="2"/>
    </row>
    <row r="10" spans="1:33" ht="42">
      <c r="A10" s="2" t="s">
        <v>462</v>
      </c>
      <c r="B10" s="2" t="s">
        <v>155</v>
      </c>
      <c r="C10" s="2">
        <v>2023</v>
      </c>
      <c r="D10" s="2" t="s">
        <v>141</v>
      </c>
      <c r="E10" s="3" t="b">
        <v>1</v>
      </c>
      <c r="F10" s="2" t="s">
        <v>164</v>
      </c>
      <c r="G10" s="2" t="s">
        <v>439</v>
      </c>
      <c r="H10" s="2" t="s">
        <v>98</v>
      </c>
      <c r="I10" s="2" t="s">
        <v>440</v>
      </c>
      <c r="J10" s="2" t="s">
        <v>441</v>
      </c>
      <c r="K10" s="2" t="s">
        <v>442</v>
      </c>
      <c r="L10" s="2" t="s">
        <v>443</v>
      </c>
      <c r="M10" s="2" t="s">
        <v>463</v>
      </c>
      <c r="N10" s="2" t="s">
        <v>445</v>
      </c>
      <c r="O10" s="2" t="s">
        <v>464</v>
      </c>
      <c r="P10" s="2" t="s">
        <v>465</v>
      </c>
      <c r="Q10" s="2" t="s">
        <v>448</v>
      </c>
      <c r="R10" s="2" t="s">
        <v>466</v>
      </c>
      <c r="S10" s="2" t="s">
        <v>467</v>
      </c>
      <c r="T10" s="2"/>
      <c r="U10" s="2"/>
      <c r="V10" s="2" t="s">
        <v>451</v>
      </c>
      <c r="W10" s="2">
        <v>0.04</v>
      </c>
      <c r="X10" s="2" t="s">
        <v>395</v>
      </c>
      <c r="Y10" s="2" t="s">
        <v>452</v>
      </c>
      <c r="Z10" s="2" t="s">
        <v>107</v>
      </c>
      <c r="AA10" s="2" t="s">
        <v>107</v>
      </c>
      <c r="AB10" s="2">
        <v>1</v>
      </c>
      <c r="AC10" s="2" t="s">
        <v>397</v>
      </c>
      <c r="AD10" s="2" t="s">
        <v>453</v>
      </c>
      <c r="AE10" s="2" t="s">
        <v>399</v>
      </c>
      <c r="AF10" s="2" t="s">
        <v>162</v>
      </c>
      <c r="AG10" s="2"/>
    </row>
    <row r="11" spans="1:33" ht="42">
      <c r="A11" s="2" t="s">
        <v>468</v>
      </c>
      <c r="B11" s="2" t="s">
        <v>155</v>
      </c>
      <c r="C11" s="2">
        <v>2023</v>
      </c>
      <c r="D11" s="2" t="s">
        <v>141</v>
      </c>
      <c r="E11" s="3" t="b">
        <v>1</v>
      </c>
      <c r="F11" s="2" t="s">
        <v>164</v>
      </c>
      <c r="G11" s="2" t="s">
        <v>439</v>
      </c>
      <c r="H11" s="2" t="s">
        <v>98</v>
      </c>
      <c r="I11" s="2" t="s">
        <v>440</v>
      </c>
      <c r="J11" s="2" t="s">
        <v>441</v>
      </c>
      <c r="K11" s="2" t="s">
        <v>442</v>
      </c>
      <c r="L11" s="2" t="s">
        <v>386</v>
      </c>
      <c r="M11" s="2" t="s">
        <v>469</v>
      </c>
      <c r="N11" s="2" t="s">
        <v>445</v>
      </c>
      <c r="O11" s="2" t="s">
        <v>470</v>
      </c>
      <c r="P11" s="2" t="s">
        <v>471</v>
      </c>
      <c r="Q11" s="2" t="s">
        <v>448</v>
      </c>
      <c r="R11" s="2" t="s">
        <v>472</v>
      </c>
      <c r="S11" s="2" t="s">
        <v>473</v>
      </c>
      <c r="T11" s="2"/>
      <c r="U11" s="2"/>
      <c r="V11" s="2" t="s">
        <v>460</v>
      </c>
      <c r="W11" s="2">
        <v>0.02</v>
      </c>
      <c r="X11" s="2" t="s">
        <v>395</v>
      </c>
      <c r="Y11" s="2" t="s">
        <v>452</v>
      </c>
      <c r="Z11" s="2" t="s">
        <v>107</v>
      </c>
      <c r="AA11" s="2" t="s">
        <v>107</v>
      </c>
      <c r="AB11" s="2">
        <v>-1</v>
      </c>
      <c r="AC11" s="2" t="s">
        <v>407</v>
      </c>
      <c r="AD11" s="2" t="s">
        <v>453</v>
      </c>
      <c r="AE11" s="2" t="s">
        <v>399</v>
      </c>
      <c r="AF11" s="2" t="s">
        <v>162</v>
      </c>
      <c r="AG11" s="2"/>
    </row>
    <row r="12" spans="1:33" ht="42">
      <c r="A12" s="2" t="s">
        <v>474</v>
      </c>
      <c r="B12" s="2" t="s">
        <v>155</v>
      </c>
      <c r="C12" s="2">
        <v>2023</v>
      </c>
      <c r="D12" s="2" t="s">
        <v>141</v>
      </c>
      <c r="E12" s="3" t="b">
        <v>1</v>
      </c>
      <c r="F12" s="2" t="s">
        <v>164</v>
      </c>
      <c r="G12" s="2" t="s">
        <v>439</v>
      </c>
      <c r="H12" s="2" t="s">
        <v>98</v>
      </c>
      <c r="I12" s="2" t="s">
        <v>440</v>
      </c>
      <c r="J12" s="2" t="s">
        <v>441</v>
      </c>
      <c r="K12" s="2" t="s">
        <v>442</v>
      </c>
      <c r="L12" s="2" t="s">
        <v>386</v>
      </c>
      <c r="M12" s="2" t="s">
        <v>475</v>
      </c>
      <c r="N12" s="2" t="s">
        <v>445</v>
      </c>
      <c r="O12" s="2" t="s">
        <v>470</v>
      </c>
      <c r="P12" s="2" t="s">
        <v>471</v>
      </c>
      <c r="Q12" s="2" t="s">
        <v>448</v>
      </c>
      <c r="R12" s="2" t="s">
        <v>472</v>
      </c>
      <c r="S12" s="2" t="s">
        <v>473</v>
      </c>
      <c r="T12" s="2"/>
      <c r="U12" s="2"/>
      <c r="V12" s="2" t="s">
        <v>460</v>
      </c>
      <c r="W12" s="2">
        <v>0.02</v>
      </c>
      <c r="X12" s="2" t="s">
        <v>395</v>
      </c>
      <c r="Y12" s="2" t="s">
        <v>452</v>
      </c>
      <c r="Z12" s="2" t="s">
        <v>107</v>
      </c>
      <c r="AA12" s="2" t="s">
        <v>107</v>
      </c>
      <c r="AB12" s="2">
        <v>-1</v>
      </c>
      <c r="AC12" s="2" t="s">
        <v>407</v>
      </c>
      <c r="AD12" s="2" t="s">
        <v>453</v>
      </c>
      <c r="AE12" s="2" t="s">
        <v>399</v>
      </c>
      <c r="AF12" s="2" t="s">
        <v>162</v>
      </c>
      <c r="AG12" s="2"/>
    </row>
    <row r="13" spans="1:33" ht="42">
      <c r="A13" s="2" t="s">
        <v>476</v>
      </c>
      <c r="B13" s="2" t="s">
        <v>155</v>
      </c>
      <c r="C13" s="2">
        <v>2023</v>
      </c>
      <c r="D13" s="2" t="s">
        <v>141</v>
      </c>
      <c r="E13" s="3" t="b">
        <v>1</v>
      </c>
      <c r="F13" s="2" t="s">
        <v>164</v>
      </c>
      <c r="G13" s="2" t="s">
        <v>439</v>
      </c>
      <c r="H13" s="2" t="s">
        <v>98</v>
      </c>
      <c r="I13" s="2" t="s">
        <v>440</v>
      </c>
      <c r="J13" s="2" t="s">
        <v>441</v>
      </c>
      <c r="K13" s="2" t="s">
        <v>442</v>
      </c>
      <c r="L13" s="2" t="s">
        <v>386</v>
      </c>
      <c r="M13" s="2" t="s">
        <v>477</v>
      </c>
      <c r="N13" s="2" t="s">
        <v>445</v>
      </c>
      <c r="O13" s="2" t="s">
        <v>478</v>
      </c>
      <c r="P13" s="2" t="s">
        <v>479</v>
      </c>
      <c r="Q13" s="2" t="s">
        <v>448</v>
      </c>
      <c r="R13" s="2" t="s">
        <v>480</v>
      </c>
      <c r="S13" s="2" t="s">
        <v>481</v>
      </c>
      <c r="T13" s="2"/>
      <c r="U13" s="2"/>
      <c r="V13" s="2" t="s">
        <v>482</v>
      </c>
      <c r="W13" s="2">
        <v>0.05</v>
      </c>
      <c r="X13" s="2" t="s">
        <v>483</v>
      </c>
      <c r="Y13" s="2" t="s">
        <v>452</v>
      </c>
      <c r="Z13" s="2" t="s">
        <v>107</v>
      </c>
      <c r="AA13" s="2" t="s">
        <v>107</v>
      </c>
      <c r="AB13" s="2">
        <v>1</v>
      </c>
      <c r="AC13" s="2" t="s">
        <v>397</v>
      </c>
      <c r="AD13" s="2" t="s">
        <v>453</v>
      </c>
      <c r="AE13" s="2" t="s">
        <v>399</v>
      </c>
      <c r="AF13" s="2" t="s">
        <v>162</v>
      </c>
      <c r="AG13" s="2"/>
    </row>
    <row r="14" spans="1:33" ht="42">
      <c r="A14" s="2" t="s">
        <v>484</v>
      </c>
      <c r="B14" s="2" t="s">
        <v>155</v>
      </c>
      <c r="C14" s="2">
        <v>2023</v>
      </c>
      <c r="D14" s="2" t="s">
        <v>141</v>
      </c>
      <c r="E14" s="3" t="b">
        <v>1</v>
      </c>
      <c r="F14" s="2" t="s">
        <v>164</v>
      </c>
      <c r="G14" s="2" t="s">
        <v>439</v>
      </c>
      <c r="H14" s="2" t="s">
        <v>98</v>
      </c>
      <c r="I14" s="2" t="s">
        <v>440</v>
      </c>
      <c r="J14" s="2" t="s">
        <v>441</v>
      </c>
      <c r="K14" s="2" t="s">
        <v>442</v>
      </c>
      <c r="L14" s="2" t="s">
        <v>386</v>
      </c>
      <c r="M14" s="2" t="s">
        <v>485</v>
      </c>
      <c r="N14" s="2" t="s">
        <v>445</v>
      </c>
      <c r="O14" s="2" t="s">
        <v>470</v>
      </c>
      <c r="P14" s="2" t="s">
        <v>471</v>
      </c>
      <c r="Q14" s="2" t="s">
        <v>448</v>
      </c>
      <c r="R14" s="2" t="s">
        <v>472</v>
      </c>
      <c r="S14" s="2" t="s">
        <v>473</v>
      </c>
      <c r="T14" s="2"/>
      <c r="U14" s="2"/>
      <c r="V14" s="2" t="s">
        <v>460</v>
      </c>
      <c r="W14" s="2">
        <v>0.02</v>
      </c>
      <c r="X14" s="2" t="s">
        <v>395</v>
      </c>
      <c r="Y14" s="2" t="s">
        <v>452</v>
      </c>
      <c r="Z14" s="2" t="s">
        <v>107</v>
      </c>
      <c r="AA14" s="2" t="s">
        <v>107</v>
      </c>
      <c r="AB14" s="2">
        <v>-1</v>
      </c>
      <c r="AC14" s="2" t="s">
        <v>407</v>
      </c>
      <c r="AD14" s="2" t="s">
        <v>453</v>
      </c>
      <c r="AE14" s="2" t="s">
        <v>399</v>
      </c>
      <c r="AF14" s="2" t="s">
        <v>162</v>
      </c>
      <c r="AG14" s="2"/>
    </row>
    <row r="15" spans="1:33" ht="42">
      <c r="A15" s="2" t="s">
        <v>486</v>
      </c>
      <c r="B15" s="2" t="s">
        <v>155</v>
      </c>
      <c r="C15" s="2">
        <v>2023</v>
      </c>
      <c r="D15" s="2" t="s">
        <v>141</v>
      </c>
      <c r="E15" s="3" t="b">
        <v>1</v>
      </c>
      <c r="F15" s="2" t="s">
        <v>164</v>
      </c>
      <c r="G15" s="2" t="s">
        <v>439</v>
      </c>
      <c r="H15" s="2" t="s">
        <v>98</v>
      </c>
      <c r="I15" s="2" t="s">
        <v>440</v>
      </c>
      <c r="J15" s="2" t="s">
        <v>441</v>
      </c>
      <c r="K15" s="2" t="s">
        <v>442</v>
      </c>
      <c r="L15" s="2" t="s">
        <v>386</v>
      </c>
      <c r="M15" s="2" t="s">
        <v>487</v>
      </c>
      <c r="N15" s="2" t="s">
        <v>445</v>
      </c>
      <c r="O15" s="2" t="s">
        <v>488</v>
      </c>
      <c r="P15" s="2" t="s">
        <v>489</v>
      </c>
      <c r="Q15" s="2" t="s">
        <v>448</v>
      </c>
      <c r="R15" s="2" t="s">
        <v>490</v>
      </c>
      <c r="S15" s="2" t="s">
        <v>491</v>
      </c>
      <c r="T15" s="2"/>
      <c r="U15" s="2"/>
      <c r="V15" s="2" t="s">
        <v>492</v>
      </c>
      <c r="W15" s="2">
        <v>0.03</v>
      </c>
      <c r="X15" s="2" t="s">
        <v>395</v>
      </c>
      <c r="Y15" s="2" t="s">
        <v>452</v>
      </c>
      <c r="Z15" s="2" t="s">
        <v>107</v>
      </c>
      <c r="AA15" s="2" t="s">
        <v>107</v>
      </c>
      <c r="AB15" s="2">
        <v>1</v>
      </c>
      <c r="AC15" s="2" t="s">
        <v>397</v>
      </c>
      <c r="AD15" s="2" t="s">
        <v>461</v>
      </c>
      <c r="AE15" s="2" t="s">
        <v>399</v>
      </c>
      <c r="AF15" s="2" t="s">
        <v>162</v>
      </c>
      <c r="AG15" s="2"/>
    </row>
    <row r="16" spans="1:33" ht="42">
      <c r="A16" s="2" t="s">
        <v>493</v>
      </c>
      <c r="B16" s="2" t="s">
        <v>155</v>
      </c>
      <c r="C16" s="2">
        <v>2023</v>
      </c>
      <c r="D16" s="2" t="s">
        <v>141</v>
      </c>
      <c r="E16" s="3" t="b">
        <v>1</v>
      </c>
      <c r="F16" s="2" t="s">
        <v>164</v>
      </c>
      <c r="G16" s="2" t="s">
        <v>439</v>
      </c>
      <c r="H16" s="2" t="s">
        <v>98</v>
      </c>
      <c r="I16" s="2" t="s">
        <v>440</v>
      </c>
      <c r="J16" s="2" t="s">
        <v>441</v>
      </c>
      <c r="K16" s="2" t="s">
        <v>442</v>
      </c>
      <c r="L16" s="2" t="s">
        <v>386</v>
      </c>
      <c r="M16" s="2" t="s">
        <v>494</v>
      </c>
      <c r="N16" s="2" t="s">
        <v>445</v>
      </c>
      <c r="O16" s="2" t="s">
        <v>495</v>
      </c>
      <c r="P16" s="2" t="s">
        <v>496</v>
      </c>
      <c r="Q16" s="2" t="s">
        <v>448</v>
      </c>
      <c r="R16" s="2" t="s">
        <v>497</v>
      </c>
      <c r="S16" s="2" t="s">
        <v>498</v>
      </c>
      <c r="T16" s="2"/>
      <c r="U16" s="2"/>
      <c r="V16" s="2" t="s">
        <v>451</v>
      </c>
      <c r="W16" s="2">
        <v>0.04</v>
      </c>
      <c r="X16" s="2" t="s">
        <v>395</v>
      </c>
      <c r="Y16" s="2" t="s">
        <v>452</v>
      </c>
      <c r="Z16" s="2" t="s">
        <v>107</v>
      </c>
      <c r="AA16" s="2" t="s">
        <v>107</v>
      </c>
      <c r="AB16" s="2">
        <v>1</v>
      </c>
      <c r="AC16" s="2" t="s">
        <v>397</v>
      </c>
      <c r="AD16" s="2" t="s">
        <v>453</v>
      </c>
      <c r="AE16" s="2" t="s">
        <v>399</v>
      </c>
      <c r="AF16" s="2" t="s">
        <v>162</v>
      </c>
      <c r="AG16" s="2"/>
    </row>
    <row r="17" spans="1:33" ht="42">
      <c r="A17" s="2" t="s">
        <v>499</v>
      </c>
      <c r="B17" s="2" t="s">
        <v>155</v>
      </c>
      <c r="C17" s="2">
        <v>2023</v>
      </c>
      <c r="D17" s="2" t="s">
        <v>141</v>
      </c>
      <c r="E17" s="3" t="b">
        <v>1</v>
      </c>
      <c r="F17" s="2" t="s">
        <v>164</v>
      </c>
      <c r="G17" s="2" t="s">
        <v>439</v>
      </c>
      <c r="H17" s="2" t="s">
        <v>98</v>
      </c>
      <c r="I17" s="2" t="s">
        <v>440</v>
      </c>
      <c r="J17" s="2" t="s">
        <v>441</v>
      </c>
      <c r="K17" s="2" t="s">
        <v>442</v>
      </c>
      <c r="L17" s="2" t="s">
        <v>386</v>
      </c>
      <c r="M17" s="2" t="s">
        <v>500</v>
      </c>
      <c r="N17" s="2" t="s">
        <v>445</v>
      </c>
      <c r="O17" s="2" t="s">
        <v>501</v>
      </c>
      <c r="P17" s="2" t="s">
        <v>502</v>
      </c>
      <c r="Q17" s="2" t="s">
        <v>448</v>
      </c>
      <c r="R17" s="2" t="s">
        <v>503</v>
      </c>
      <c r="S17" s="2" t="s">
        <v>504</v>
      </c>
      <c r="T17" s="2"/>
      <c r="U17" s="2"/>
      <c r="V17" s="2" t="s">
        <v>451</v>
      </c>
      <c r="W17" s="2">
        <v>0.04</v>
      </c>
      <c r="X17" s="2" t="s">
        <v>395</v>
      </c>
      <c r="Y17" s="2" t="s">
        <v>452</v>
      </c>
      <c r="Z17" s="2" t="s">
        <v>107</v>
      </c>
      <c r="AA17" s="2" t="s">
        <v>107</v>
      </c>
      <c r="AB17" s="2">
        <v>-1</v>
      </c>
      <c r="AC17" s="2" t="s">
        <v>407</v>
      </c>
      <c r="AD17" s="2" t="s">
        <v>453</v>
      </c>
      <c r="AE17" s="2" t="s">
        <v>399</v>
      </c>
      <c r="AF17" s="2" t="s">
        <v>162</v>
      </c>
      <c r="AG17" s="2"/>
    </row>
    <row r="18" spans="1:33" ht="42">
      <c r="A18" s="2" t="s">
        <v>505</v>
      </c>
      <c r="B18" s="2" t="s">
        <v>155</v>
      </c>
      <c r="C18" s="2">
        <v>2023</v>
      </c>
      <c r="D18" s="2" t="s">
        <v>141</v>
      </c>
      <c r="E18" s="3" t="b">
        <v>1</v>
      </c>
      <c r="F18" s="2" t="s">
        <v>164</v>
      </c>
      <c r="G18" s="2" t="s">
        <v>439</v>
      </c>
      <c r="H18" s="2" t="s">
        <v>98</v>
      </c>
      <c r="I18" s="2" t="s">
        <v>440</v>
      </c>
      <c r="J18" s="2" t="s">
        <v>441</v>
      </c>
      <c r="K18" s="2" t="s">
        <v>442</v>
      </c>
      <c r="L18" s="2" t="s">
        <v>386</v>
      </c>
      <c r="M18" s="2" t="s">
        <v>506</v>
      </c>
      <c r="N18" s="2" t="s">
        <v>445</v>
      </c>
      <c r="O18" s="2" t="s">
        <v>507</v>
      </c>
      <c r="P18" s="2" t="s">
        <v>508</v>
      </c>
      <c r="Q18" s="2" t="s">
        <v>448</v>
      </c>
      <c r="R18" s="2" t="s">
        <v>509</v>
      </c>
      <c r="S18" s="2" t="s">
        <v>510</v>
      </c>
      <c r="T18" s="2"/>
      <c r="U18" s="2"/>
      <c r="V18" s="2" t="s">
        <v>482</v>
      </c>
      <c r="W18" s="2">
        <v>0.05</v>
      </c>
      <c r="X18" s="2" t="s">
        <v>483</v>
      </c>
      <c r="Y18" s="2" t="s">
        <v>452</v>
      </c>
      <c r="Z18" s="2" t="s">
        <v>107</v>
      </c>
      <c r="AA18" s="2" t="s">
        <v>107</v>
      </c>
      <c r="AB18" s="2">
        <v>-1</v>
      </c>
      <c r="AC18" s="2" t="s">
        <v>407</v>
      </c>
      <c r="AD18" s="2" t="s">
        <v>453</v>
      </c>
      <c r="AE18" s="2" t="s">
        <v>399</v>
      </c>
      <c r="AF18" s="2" t="s">
        <v>162</v>
      </c>
      <c r="AG18" s="2"/>
    </row>
    <row r="19" spans="1:33" ht="42">
      <c r="A19" s="2" t="s">
        <v>511</v>
      </c>
      <c r="B19" s="2" t="s">
        <v>155</v>
      </c>
      <c r="C19" s="2">
        <v>2023</v>
      </c>
      <c r="D19" s="2" t="s">
        <v>141</v>
      </c>
      <c r="E19" s="3" t="b">
        <v>1</v>
      </c>
      <c r="F19" s="2" t="s">
        <v>164</v>
      </c>
      <c r="G19" s="2" t="s">
        <v>439</v>
      </c>
      <c r="H19" s="2" t="s">
        <v>98</v>
      </c>
      <c r="I19" s="2" t="s">
        <v>440</v>
      </c>
      <c r="J19" s="2" t="s">
        <v>441</v>
      </c>
      <c r="K19" s="2" t="s">
        <v>442</v>
      </c>
      <c r="L19" s="2" t="s">
        <v>386</v>
      </c>
      <c r="M19" s="2" t="s">
        <v>512</v>
      </c>
      <c r="N19" s="2" t="s">
        <v>445</v>
      </c>
      <c r="O19" s="2" t="s">
        <v>513</v>
      </c>
      <c r="P19" s="2" t="s">
        <v>514</v>
      </c>
      <c r="Q19" s="2" t="s">
        <v>448</v>
      </c>
      <c r="R19" s="2" t="s">
        <v>472</v>
      </c>
      <c r="S19" s="2" t="s">
        <v>473</v>
      </c>
      <c r="T19" s="2"/>
      <c r="U19" s="2"/>
      <c r="V19" s="2" t="s">
        <v>515</v>
      </c>
      <c r="W19" s="2">
        <v>0.01</v>
      </c>
      <c r="X19" s="2" t="s">
        <v>395</v>
      </c>
      <c r="Y19" s="2" t="s">
        <v>452</v>
      </c>
      <c r="Z19" s="2" t="s">
        <v>107</v>
      </c>
      <c r="AA19" s="2" t="s">
        <v>107</v>
      </c>
      <c r="AB19" s="2">
        <v>-1</v>
      </c>
      <c r="AC19" s="2" t="s">
        <v>407</v>
      </c>
      <c r="AD19" s="2" t="s">
        <v>453</v>
      </c>
      <c r="AE19" s="2" t="s">
        <v>399</v>
      </c>
      <c r="AF19" s="2" t="s">
        <v>162</v>
      </c>
      <c r="AG19" s="2"/>
    </row>
    <row r="20" spans="1:33" ht="42">
      <c r="A20" s="2" t="s">
        <v>516</v>
      </c>
      <c r="B20" s="2" t="s">
        <v>155</v>
      </c>
      <c r="C20" s="2">
        <v>2023</v>
      </c>
      <c r="D20" s="2" t="s">
        <v>141</v>
      </c>
      <c r="E20" s="3" t="b">
        <v>1</v>
      </c>
      <c r="F20" s="2" t="s">
        <v>164</v>
      </c>
      <c r="G20" s="2" t="s">
        <v>439</v>
      </c>
      <c r="H20" s="2" t="s">
        <v>98</v>
      </c>
      <c r="I20" s="2" t="s">
        <v>440</v>
      </c>
      <c r="J20" s="2" t="s">
        <v>441</v>
      </c>
      <c r="K20" s="2" t="s">
        <v>442</v>
      </c>
      <c r="L20" s="2" t="s">
        <v>386</v>
      </c>
      <c r="M20" s="2" t="s">
        <v>517</v>
      </c>
      <c r="N20" s="2" t="s">
        <v>445</v>
      </c>
      <c r="O20" s="2" t="s">
        <v>518</v>
      </c>
      <c r="P20" s="2" t="s">
        <v>519</v>
      </c>
      <c r="Q20" s="2" t="s">
        <v>448</v>
      </c>
      <c r="R20" s="2">
        <v>0</v>
      </c>
      <c r="S20" s="2">
        <v>0</v>
      </c>
      <c r="T20" s="2"/>
      <c r="U20" s="2"/>
      <c r="V20" s="2" t="s">
        <v>460</v>
      </c>
      <c r="W20" s="2">
        <v>0.02</v>
      </c>
      <c r="X20" s="2" t="s">
        <v>395</v>
      </c>
      <c r="Y20" s="2" t="s">
        <v>452</v>
      </c>
      <c r="Z20" s="2" t="s">
        <v>107</v>
      </c>
      <c r="AA20" s="2" t="s">
        <v>107</v>
      </c>
      <c r="AB20" s="2">
        <v>-1</v>
      </c>
      <c r="AC20" s="2" t="s">
        <v>407</v>
      </c>
      <c r="AD20" s="2" t="s">
        <v>461</v>
      </c>
      <c r="AE20" s="2" t="s">
        <v>399</v>
      </c>
      <c r="AF20" s="2" t="s">
        <v>162</v>
      </c>
      <c r="AG20" s="2"/>
    </row>
    <row r="21" spans="1:33" ht="42">
      <c r="A21" s="2" t="s">
        <v>520</v>
      </c>
      <c r="B21" s="2" t="s">
        <v>155</v>
      </c>
      <c r="C21" s="2">
        <v>2023</v>
      </c>
      <c r="D21" s="2" t="s">
        <v>141</v>
      </c>
      <c r="E21" s="3" t="b">
        <v>1</v>
      </c>
      <c r="F21" s="2" t="s">
        <v>164</v>
      </c>
      <c r="G21" s="2" t="s">
        <v>439</v>
      </c>
      <c r="H21" s="2" t="s">
        <v>98</v>
      </c>
      <c r="I21" s="2" t="s">
        <v>440</v>
      </c>
      <c r="J21" s="2" t="s">
        <v>441</v>
      </c>
      <c r="K21" s="2" t="s">
        <v>442</v>
      </c>
      <c r="L21" s="2" t="s">
        <v>386</v>
      </c>
      <c r="M21" s="2" t="s">
        <v>521</v>
      </c>
      <c r="N21" s="2" t="s">
        <v>445</v>
      </c>
      <c r="O21" s="2" t="s">
        <v>522</v>
      </c>
      <c r="P21" s="2" t="s">
        <v>504</v>
      </c>
      <c r="Q21" s="2" t="s">
        <v>448</v>
      </c>
      <c r="R21" s="2" t="s">
        <v>490</v>
      </c>
      <c r="S21" s="2" t="s">
        <v>491</v>
      </c>
      <c r="T21" s="2"/>
      <c r="U21" s="2"/>
      <c r="V21" s="2" t="s">
        <v>492</v>
      </c>
      <c r="W21" s="2">
        <v>0.03</v>
      </c>
      <c r="X21" s="2" t="s">
        <v>395</v>
      </c>
      <c r="Y21" s="2" t="s">
        <v>452</v>
      </c>
      <c r="Z21" s="2" t="s">
        <v>107</v>
      </c>
      <c r="AA21" s="2" t="s">
        <v>107</v>
      </c>
      <c r="AB21" s="2">
        <v>1</v>
      </c>
      <c r="AC21" s="2" t="s">
        <v>397</v>
      </c>
      <c r="AD21" s="2" t="s">
        <v>461</v>
      </c>
      <c r="AE21" s="2" t="s">
        <v>399</v>
      </c>
      <c r="AF21" s="2" t="s">
        <v>162</v>
      </c>
      <c r="AG21" s="2"/>
    </row>
    <row r="22" spans="1:33" ht="42">
      <c r="A22" s="2" t="s">
        <v>523</v>
      </c>
      <c r="B22" s="2" t="s">
        <v>155</v>
      </c>
      <c r="C22" s="2">
        <v>2023</v>
      </c>
      <c r="D22" s="2" t="s">
        <v>141</v>
      </c>
      <c r="E22" s="3" t="b">
        <v>1</v>
      </c>
      <c r="F22" s="2" t="s">
        <v>164</v>
      </c>
      <c r="G22" s="2" t="s">
        <v>439</v>
      </c>
      <c r="H22" s="2" t="s">
        <v>98</v>
      </c>
      <c r="I22" s="2" t="s">
        <v>440</v>
      </c>
      <c r="J22" s="2" t="s">
        <v>441</v>
      </c>
      <c r="K22" s="2" t="s">
        <v>442</v>
      </c>
      <c r="L22" s="2" t="s">
        <v>386</v>
      </c>
      <c r="M22" s="2" t="s">
        <v>524</v>
      </c>
      <c r="N22" s="2" t="s">
        <v>445</v>
      </c>
      <c r="O22" s="2" t="s">
        <v>525</v>
      </c>
      <c r="P22" s="2" t="s">
        <v>526</v>
      </c>
      <c r="Q22" s="2" t="s">
        <v>448</v>
      </c>
      <c r="R22" s="2" t="s">
        <v>527</v>
      </c>
      <c r="S22" s="2" t="s">
        <v>528</v>
      </c>
      <c r="T22" s="2"/>
      <c r="U22" s="2"/>
      <c r="V22" s="2" t="s">
        <v>460</v>
      </c>
      <c r="W22" s="2">
        <v>0.02</v>
      </c>
      <c r="X22" s="2" t="s">
        <v>395</v>
      </c>
      <c r="Y22" s="2" t="s">
        <v>452</v>
      </c>
      <c r="Z22" s="2" t="s">
        <v>107</v>
      </c>
      <c r="AA22" s="2" t="s">
        <v>107</v>
      </c>
      <c r="AB22" s="2">
        <v>-1</v>
      </c>
      <c r="AC22" s="2" t="s">
        <v>407</v>
      </c>
      <c r="AD22" s="2" t="s">
        <v>453</v>
      </c>
      <c r="AE22" s="2" t="s">
        <v>399</v>
      </c>
      <c r="AF22" s="2" t="s">
        <v>162</v>
      </c>
      <c r="AG22" s="2"/>
    </row>
    <row r="23" spans="1:33" ht="42">
      <c r="A23" s="2" t="s">
        <v>529</v>
      </c>
      <c r="B23" s="2" t="s">
        <v>155</v>
      </c>
      <c r="C23" s="2">
        <v>2023</v>
      </c>
      <c r="D23" s="2" t="s">
        <v>141</v>
      </c>
      <c r="E23" s="3" t="b">
        <v>1</v>
      </c>
      <c r="F23" s="2" t="s">
        <v>164</v>
      </c>
      <c r="G23" s="2" t="s">
        <v>439</v>
      </c>
      <c r="H23" s="2" t="s">
        <v>98</v>
      </c>
      <c r="I23" s="2" t="s">
        <v>440</v>
      </c>
      <c r="J23" s="2" t="s">
        <v>441</v>
      </c>
      <c r="K23" s="2" t="s">
        <v>442</v>
      </c>
      <c r="L23" s="2" t="s">
        <v>386</v>
      </c>
      <c r="M23" s="2" t="s">
        <v>530</v>
      </c>
      <c r="N23" s="2" t="s">
        <v>445</v>
      </c>
      <c r="O23" s="2" t="s">
        <v>531</v>
      </c>
      <c r="P23" s="2" t="s">
        <v>532</v>
      </c>
      <c r="Q23" s="2" t="s">
        <v>448</v>
      </c>
      <c r="R23" s="2" t="s">
        <v>533</v>
      </c>
      <c r="S23" s="2" t="s">
        <v>534</v>
      </c>
      <c r="T23" s="2"/>
      <c r="U23" s="2"/>
      <c r="V23" s="2" t="s">
        <v>515</v>
      </c>
      <c r="W23" s="2">
        <v>0.01</v>
      </c>
      <c r="X23" s="2" t="s">
        <v>395</v>
      </c>
      <c r="Y23" s="2" t="s">
        <v>452</v>
      </c>
      <c r="Z23" s="2" t="s">
        <v>107</v>
      </c>
      <c r="AA23" s="2" t="s">
        <v>107</v>
      </c>
      <c r="AB23" s="2">
        <v>1</v>
      </c>
      <c r="AC23" s="2" t="s">
        <v>397</v>
      </c>
      <c r="AD23" s="2" t="s">
        <v>453</v>
      </c>
      <c r="AE23" s="2" t="s">
        <v>399</v>
      </c>
      <c r="AF23" s="2" t="s">
        <v>162</v>
      </c>
      <c r="AG23" s="2"/>
    </row>
    <row r="24" spans="1:33" ht="42">
      <c r="A24" s="2" t="s">
        <v>535</v>
      </c>
      <c r="B24" s="2" t="s">
        <v>155</v>
      </c>
      <c r="C24" s="2">
        <v>2023</v>
      </c>
      <c r="D24" s="2" t="s">
        <v>141</v>
      </c>
      <c r="E24" s="3" t="b">
        <v>1</v>
      </c>
      <c r="F24" s="2" t="s">
        <v>164</v>
      </c>
      <c r="G24" s="2" t="s">
        <v>439</v>
      </c>
      <c r="H24" s="2" t="s">
        <v>98</v>
      </c>
      <c r="I24" s="2" t="s">
        <v>440</v>
      </c>
      <c r="J24" s="2" t="s">
        <v>441</v>
      </c>
      <c r="K24" s="2" t="s">
        <v>442</v>
      </c>
      <c r="L24" s="2" t="s">
        <v>386</v>
      </c>
      <c r="M24" s="2" t="s">
        <v>536</v>
      </c>
      <c r="N24" s="2" t="s">
        <v>445</v>
      </c>
      <c r="O24" s="2" t="s">
        <v>537</v>
      </c>
      <c r="P24" s="2" t="s">
        <v>538</v>
      </c>
      <c r="Q24" s="2" t="s">
        <v>448</v>
      </c>
      <c r="R24" s="2" t="s">
        <v>539</v>
      </c>
      <c r="S24" s="2" t="s">
        <v>540</v>
      </c>
      <c r="T24" s="2"/>
      <c r="U24" s="2"/>
      <c r="V24" s="2" t="s">
        <v>515</v>
      </c>
      <c r="W24" s="2">
        <v>0.01</v>
      </c>
      <c r="X24" s="2" t="s">
        <v>395</v>
      </c>
      <c r="Y24" s="2" t="s">
        <v>452</v>
      </c>
      <c r="Z24" s="2" t="s">
        <v>107</v>
      </c>
      <c r="AA24" s="2" t="s">
        <v>107</v>
      </c>
      <c r="AB24" s="2">
        <v>-1</v>
      </c>
      <c r="AC24" s="2" t="s">
        <v>407</v>
      </c>
      <c r="AD24" s="2" t="s">
        <v>453</v>
      </c>
      <c r="AE24" s="2" t="s">
        <v>399</v>
      </c>
      <c r="AF24" s="2" t="s">
        <v>162</v>
      </c>
      <c r="AG24" s="2"/>
    </row>
    <row r="25" spans="1:33" ht="42">
      <c r="A25" s="2" t="s">
        <v>541</v>
      </c>
      <c r="B25" s="2" t="s">
        <v>155</v>
      </c>
      <c r="C25" s="2">
        <v>2023</v>
      </c>
      <c r="D25" s="2" t="s">
        <v>141</v>
      </c>
      <c r="E25" s="3" t="b">
        <v>1</v>
      </c>
      <c r="F25" s="2" t="s">
        <v>164</v>
      </c>
      <c r="G25" s="2" t="s">
        <v>439</v>
      </c>
      <c r="H25" s="2" t="s">
        <v>98</v>
      </c>
      <c r="I25" s="2" t="s">
        <v>440</v>
      </c>
      <c r="J25" s="2" t="s">
        <v>441</v>
      </c>
      <c r="K25" s="2" t="s">
        <v>442</v>
      </c>
      <c r="L25" s="2" t="s">
        <v>386</v>
      </c>
      <c r="M25" s="2" t="s">
        <v>542</v>
      </c>
      <c r="N25" s="2" t="s">
        <v>445</v>
      </c>
      <c r="O25" s="2" t="s">
        <v>543</v>
      </c>
      <c r="P25" s="2" t="s">
        <v>544</v>
      </c>
      <c r="Q25" s="2" t="s">
        <v>448</v>
      </c>
      <c r="R25" s="2" t="s">
        <v>545</v>
      </c>
      <c r="S25" s="2" t="s">
        <v>546</v>
      </c>
      <c r="T25" s="2"/>
      <c r="U25" s="2"/>
      <c r="V25" s="2" t="s">
        <v>451</v>
      </c>
      <c r="W25" s="2">
        <v>0.04</v>
      </c>
      <c r="X25" s="2" t="s">
        <v>395</v>
      </c>
      <c r="Y25" s="2" t="s">
        <v>452</v>
      </c>
      <c r="Z25" s="2" t="s">
        <v>107</v>
      </c>
      <c r="AA25" s="2" t="s">
        <v>107</v>
      </c>
      <c r="AB25" s="2">
        <v>1</v>
      </c>
      <c r="AC25" s="2" t="s">
        <v>397</v>
      </c>
      <c r="AD25" s="2" t="s">
        <v>453</v>
      </c>
      <c r="AE25" s="2" t="s">
        <v>399</v>
      </c>
      <c r="AF25" s="2" t="s">
        <v>162</v>
      </c>
      <c r="AG25" s="2"/>
    </row>
    <row r="26" spans="1:33" ht="42">
      <c r="A26" s="2" t="s">
        <v>547</v>
      </c>
      <c r="B26" s="2" t="s">
        <v>155</v>
      </c>
      <c r="C26" s="2">
        <v>2023</v>
      </c>
      <c r="D26" s="2" t="s">
        <v>141</v>
      </c>
      <c r="E26" s="3" t="b">
        <v>1</v>
      </c>
      <c r="F26" s="2" t="s">
        <v>164</v>
      </c>
      <c r="G26" s="2" t="s">
        <v>439</v>
      </c>
      <c r="H26" s="2" t="s">
        <v>98</v>
      </c>
      <c r="I26" s="2" t="s">
        <v>440</v>
      </c>
      <c r="J26" s="2" t="s">
        <v>441</v>
      </c>
      <c r="K26" s="2" t="s">
        <v>442</v>
      </c>
      <c r="L26" s="2" t="s">
        <v>386</v>
      </c>
      <c r="M26" s="2" t="s">
        <v>548</v>
      </c>
      <c r="N26" s="2" t="s">
        <v>445</v>
      </c>
      <c r="O26" s="2" t="s">
        <v>549</v>
      </c>
      <c r="P26" s="2" t="s">
        <v>471</v>
      </c>
      <c r="Q26" s="2" t="s">
        <v>448</v>
      </c>
      <c r="R26" s="2" t="s">
        <v>550</v>
      </c>
      <c r="S26" s="2">
        <v>0</v>
      </c>
      <c r="T26" s="2"/>
      <c r="U26" s="2"/>
      <c r="V26" s="2" t="s">
        <v>451</v>
      </c>
      <c r="W26" s="2">
        <v>0.04</v>
      </c>
      <c r="X26" s="2" t="s">
        <v>395</v>
      </c>
      <c r="Y26" s="2" t="s">
        <v>452</v>
      </c>
      <c r="Z26" s="2" t="s">
        <v>107</v>
      </c>
      <c r="AA26" s="2" t="s">
        <v>107</v>
      </c>
      <c r="AB26" s="2">
        <v>-1</v>
      </c>
      <c r="AC26" s="2" t="s">
        <v>407</v>
      </c>
      <c r="AD26" s="2" t="s">
        <v>461</v>
      </c>
      <c r="AE26" s="2" t="s">
        <v>399</v>
      </c>
      <c r="AF26" s="2" t="s">
        <v>162</v>
      </c>
      <c r="AG26" s="2"/>
    </row>
    <row r="27" spans="1:33" ht="42">
      <c r="A27" s="2" t="s">
        <v>551</v>
      </c>
      <c r="B27" s="2" t="s">
        <v>155</v>
      </c>
      <c r="C27" s="2">
        <v>2023</v>
      </c>
      <c r="D27" s="2" t="s">
        <v>141</v>
      </c>
      <c r="E27" s="3" t="b">
        <v>1</v>
      </c>
      <c r="F27" s="2" t="s">
        <v>164</v>
      </c>
      <c r="G27" s="2" t="s">
        <v>439</v>
      </c>
      <c r="H27" s="2" t="s">
        <v>98</v>
      </c>
      <c r="I27" s="2" t="s">
        <v>440</v>
      </c>
      <c r="J27" s="2" t="s">
        <v>441</v>
      </c>
      <c r="K27" s="2" t="s">
        <v>442</v>
      </c>
      <c r="L27" s="2" t="s">
        <v>386</v>
      </c>
      <c r="M27" s="2" t="s">
        <v>552</v>
      </c>
      <c r="N27" s="2" t="s">
        <v>445</v>
      </c>
      <c r="O27" s="2" t="s">
        <v>553</v>
      </c>
      <c r="P27" s="2" t="s">
        <v>554</v>
      </c>
      <c r="Q27" s="2" t="s">
        <v>448</v>
      </c>
      <c r="R27" s="2" t="s">
        <v>555</v>
      </c>
      <c r="S27" s="2" t="s">
        <v>556</v>
      </c>
      <c r="T27" s="2"/>
      <c r="U27" s="2"/>
      <c r="V27" s="2" t="s">
        <v>515</v>
      </c>
      <c r="W27" s="2">
        <v>0.01</v>
      </c>
      <c r="X27" s="2" t="s">
        <v>395</v>
      </c>
      <c r="Y27" s="2" t="s">
        <v>452</v>
      </c>
      <c r="Z27" s="2" t="s">
        <v>107</v>
      </c>
      <c r="AA27" s="2" t="s">
        <v>107</v>
      </c>
      <c r="AB27" s="2">
        <v>-1</v>
      </c>
      <c r="AC27" s="2" t="s">
        <v>407</v>
      </c>
      <c r="AD27" s="2" t="s">
        <v>453</v>
      </c>
      <c r="AE27" s="2" t="s">
        <v>399</v>
      </c>
      <c r="AF27" s="2" t="s">
        <v>162</v>
      </c>
      <c r="AG27" s="2"/>
    </row>
    <row r="28" spans="1:33" ht="42">
      <c r="A28" s="2" t="s">
        <v>557</v>
      </c>
      <c r="B28" s="2" t="s">
        <v>155</v>
      </c>
      <c r="C28" s="2">
        <v>2023</v>
      </c>
      <c r="D28" s="2" t="s">
        <v>141</v>
      </c>
      <c r="E28" s="3" t="b">
        <v>1</v>
      </c>
      <c r="F28" s="2" t="s">
        <v>164</v>
      </c>
      <c r="G28" s="2" t="s">
        <v>439</v>
      </c>
      <c r="H28" s="2" t="s">
        <v>98</v>
      </c>
      <c r="I28" s="2" t="s">
        <v>440</v>
      </c>
      <c r="J28" s="2" t="s">
        <v>441</v>
      </c>
      <c r="K28" s="2" t="s">
        <v>442</v>
      </c>
      <c r="L28" s="2" t="s">
        <v>386</v>
      </c>
      <c r="M28" s="2" t="s">
        <v>558</v>
      </c>
      <c r="N28" s="2" t="s">
        <v>445</v>
      </c>
      <c r="O28" s="2" t="s">
        <v>559</v>
      </c>
      <c r="P28" s="2" t="s">
        <v>560</v>
      </c>
      <c r="Q28" s="2" t="s">
        <v>448</v>
      </c>
      <c r="R28" s="2" t="s">
        <v>561</v>
      </c>
      <c r="S28" s="2" t="s">
        <v>562</v>
      </c>
      <c r="T28" s="2"/>
      <c r="U28" s="2"/>
      <c r="V28" s="2" t="s">
        <v>482</v>
      </c>
      <c r="W28" s="2">
        <v>0.05</v>
      </c>
      <c r="X28" s="2" t="s">
        <v>483</v>
      </c>
      <c r="Y28" s="2" t="s">
        <v>452</v>
      </c>
      <c r="Z28" s="2" t="s">
        <v>107</v>
      </c>
      <c r="AA28" s="2" t="s">
        <v>107</v>
      </c>
      <c r="AB28" s="2">
        <v>-1</v>
      </c>
      <c r="AC28" s="2" t="s">
        <v>407</v>
      </c>
      <c r="AD28" s="2" t="s">
        <v>461</v>
      </c>
      <c r="AE28" s="2" t="s">
        <v>399</v>
      </c>
      <c r="AF28" s="2" t="s">
        <v>162</v>
      </c>
      <c r="AG28" s="2"/>
    </row>
    <row r="29" spans="1:33" ht="42">
      <c r="A29" s="2" t="s">
        <v>563</v>
      </c>
      <c r="B29" s="2" t="s">
        <v>155</v>
      </c>
      <c r="C29" s="2">
        <v>2023</v>
      </c>
      <c r="D29" s="2" t="s">
        <v>141</v>
      </c>
      <c r="E29" s="3" t="b">
        <v>1</v>
      </c>
      <c r="F29" s="2" t="s">
        <v>164</v>
      </c>
      <c r="G29" s="2" t="s">
        <v>439</v>
      </c>
      <c r="H29" s="2" t="s">
        <v>98</v>
      </c>
      <c r="I29" s="2" t="s">
        <v>440</v>
      </c>
      <c r="J29" s="2" t="s">
        <v>441</v>
      </c>
      <c r="K29" s="2" t="s">
        <v>442</v>
      </c>
      <c r="L29" s="2" t="s">
        <v>386</v>
      </c>
      <c r="M29" s="2" t="s">
        <v>564</v>
      </c>
      <c r="N29" s="2" t="s">
        <v>445</v>
      </c>
      <c r="O29" s="2" t="s">
        <v>565</v>
      </c>
      <c r="P29" s="2" t="s">
        <v>566</v>
      </c>
      <c r="Q29" s="2" t="s">
        <v>448</v>
      </c>
      <c r="R29" s="2" t="s">
        <v>567</v>
      </c>
      <c r="S29" s="2" t="s">
        <v>568</v>
      </c>
      <c r="T29" s="2"/>
      <c r="U29" s="2"/>
      <c r="V29" s="2" t="s">
        <v>482</v>
      </c>
      <c r="W29" s="2">
        <v>0.05</v>
      </c>
      <c r="X29" s="2" t="s">
        <v>483</v>
      </c>
      <c r="Y29" s="2" t="s">
        <v>452</v>
      </c>
      <c r="Z29" s="2" t="s">
        <v>107</v>
      </c>
      <c r="AA29" s="2" t="s">
        <v>107</v>
      </c>
      <c r="AB29" s="2">
        <v>1</v>
      </c>
      <c r="AC29" s="2" t="s">
        <v>397</v>
      </c>
      <c r="AD29" s="2" t="s">
        <v>453</v>
      </c>
      <c r="AE29" s="2" t="s">
        <v>399</v>
      </c>
      <c r="AF29" s="2" t="s">
        <v>162</v>
      </c>
      <c r="AG29" s="2"/>
    </row>
    <row r="30" spans="1:33" ht="42">
      <c r="A30" s="2" t="s">
        <v>569</v>
      </c>
      <c r="B30" s="2" t="s">
        <v>155</v>
      </c>
      <c r="C30" s="2">
        <v>2023</v>
      </c>
      <c r="D30" s="2" t="s">
        <v>141</v>
      </c>
      <c r="E30" s="3" t="b">
        <v>1</v>
      </c>
      <c r="F30" s="2" t="s">
        <v>164</v>
      </c>
      <c r="G30" s="2" t="s">
        <v>439</v>
      </c>
      <c r="H30" s="2" t="s">
        <v>98</v>
      </c>
      <c r="I30" s="2" t="s">
        <v>440</v>
      </c>
      <c r="J30" s="2" t="s">
        <v>441</v>
      </c>
      <c r="K30" s="2" t="s">
        <v>442</v>
      </c>
      <c r="L30" s="2" t="s">
        <v>386</v>
      </c>
      <c r="M30" s="2" t="s">
        <v>570</v>
      </c>
      <c r="N30" s="2" t="s">
        <v>445</v>
      </c>
      <c r="O30" s="2" t="s">
        <v>571</v>
      </c>
      <c r="P30" s="2" t="s">
        <v>572</v>
      </c>
      <c r="Q30" s="2" t="s">
        <v>448</v>
      </c>
      <c r="R30" s="2">
        <v>0</v>
      </c>
      <c r="S30" s="2">
        <v>0</v>
      </c>
      <c r="T30" s="2"/>
      <c r="U30" s="2"/>
      <c r="V30" s="2" t="s">
        <v>492</v>
      </c>
      <c r="W30" s="2">
        <v>0.03</v>
      </c>
      <c r="X30" s="2" t="s">
        <v>395</v>
      </c>
      <c r="Y30" s="2" t="s">
        <v>452</v>
      </c>
      <c r="Z30" s="2" t="s">
        <v>107</v>
      </c>
      <c r="AA30" s="2" t="s">
        <v>107</v>
      </c>
      <c r="AB30" s="2">
        <v>-1</v>
      </c>
      <c r="AC30" s="2" t="s">
        <v>407</v>
      </c>
      <c r="AD30" s="2" t="s">
        <v>461</v>
      </c>
      <c r="AE30" s="2" t="s">
        <v>399</v>
      </c>
      <c r="AF30" s="2" t="s">
        <v>162</v>
      </c>
      <c r="AG30" s="2"/>
    </row>
    <row r="31" spans="1:33" ht="42">
      <c r="A31" s="2" t="s">
        <v>573</v>
      </c>
      <c r="B31" s="2" t="s">
        <v>155</v>
      </c>
      <c r="C31" s="2">
        <v>2023</v>
      </c>
      <c r="D31" s="2" t="s">
        <v>141</v>
      </c>
      <c r="E31" s="3" t="b">
        <v>1</v>
      </c>
      <c r="F31" s="2" t="s">
        <v>164</v>
      </c>
      <c r="G31" s="2" t="s">
        <v>439</v>
      </c>
      <c r="H31" s="2" t="s">
        <v>98</v>
      </c>
      <c r="I31" s="2" t="s">
        <v>440</v>
      </c>
      <c r="J31" s="2" t="s">
        <v>441</v>
      </c>
      <c r="K31" s="2" t="s">
        <v>442</v>
      </c>
      <c r="L31" s="2" t="s">
        <v>386</v>
      </c>
      <c r="M31" s="2" t="s">
        <v>574</v>
      </c>
      <c r="N31" s="2" t="s">
        <v>445</v>
      </c>
      <c r="O31" s="2" t="s">
        <v>575</v>
      </c>
      <c r="P31" s="2" t="s">
        <v>576</v>
      </c>
      <c r="Q31" s="2" t="s">
        <v>448</v>
      </c>
      <c r="R31" s="2" t="s">
        <v>577</v>
      </c>
      <c r="S31" s="2" t="s">
        <v>578</v>
      </c>
      <c r="T31" s="2"/>
      <c r="U31" s="2"/>
      <c r="V31" s="2" t="s">
        <v>492</v>
      </c>
      <c r="W31" s="2">
        <v>0.03</v>
      </c>
      <c r="X31" s="2" t="s">
        <v>395</v>
      </c>
      <c r="Y31" s="2" t="s">
        <v>452</v>
      </c>
      <c r="Z31" s="2" t="s">
        <v>107</v>
      </c>
      <c r="AA31" s="2" t="s">
        <v>107</v>
      </c>
      <c r="AB31" s="2">
        <v>1</v>
      </c>
      <c r="AC31" s="2" t="s">
        <v>397</v>
      </c>
      <c r="AD31" s="2" t="s">
        <v>453</v>
      </c>
      <c r="AE31" s="2" t="s">
        <v>399</v>
      </c>
      <c r="AF31" s="2" t="s">
        <v>162</v>
      </c>
      <c r="AG31" s="2"/>
    </row>
    <row r="32" spans="1:33" ht="42">
      <c r="A32" s="2" t="s">
        <v>579</v>
      </c>
      <c r="B32" s="2" t="s">
        <v>155</v>
      </c>
      <c r="C32" s="2">
        <v>2023</v>
      </c>
      <c r="D32" s="2" t="s">
        <v>141</v>
      </c>
      <c r="E32" s="3" t="b">
        <v>1</v>
      </c>
      <c r="F32" s="2" t="s">
        <v>164</v>
      </c>
      <c r="G32" s="2" t="s">
        <v>439</v>
      </c>
      <c r="H32" s="2" t="s">
        <v>98</v>
      </c>
      <c r="I32" s="2" t="s">
        <v>440</v>
      </c>
      <c r="J32" s="2" t="s">
        <v>441</v>
      </c>
      <c r="K32" s="2" t="s">
        <v>442</v>
      </c>
      <c r="L32" s="2" t="s">
        <v>580</v>
      </c>
      <c r="M32" s="2" t="s">
        <v>581</v>
      </c>
      <c r="N32" s="2" t="s">
        <v>445</v>
      </c>
      <c r="O32" s="2" t="s">
        <v>582</v>
      </c>
      <c r="P32" s="2" t="s">
        <v>583</v>
      </c>
      <c r="Q32" s="2" t="s">
        <v>448</v>
      </c>
      <c r="R32" s="2" t="s">
        <v>584</v>
      </c>
      <c r="S32" s="2" t="s">
        <v>585</v>
      </c>
      <c r="T32" s="2"/>
      <c r="U32" s="2"/>
      <c r="V32" s="2" t="s">
        <v>515</v>
      </c>
      <c r="W32" s="2">
        <v>0.01</v>
      </c>
      <c r="X32" s="2" t="s">
        <v>395</v>
      </c>
      <c r="Y32" s="2" t="s">
        <v>452</v>
      </c>
      <c r="Z32" s="2" t="s">
        <v>107</v>
      </c>
      <c r="AA32" s="2" t="s">
        <v>107</v>
      </c>
      <c r="AB32" s="2">
        <v>1</v>
      </c>
      <c r="AC32" s="2" t="s">
        <v>397</v>
      </c>
      <c r="AD32" s="2" t="s">
        <v>453</v>
      </c>
      <c r="AE32" s="2" t="s">
        <v>399</v>
      </c>
      <c r="AF32" s="2" t="s">
        <v>162</v>
      </c>
      <c r="AG32" s="2"/>
    </row>
    <row r="33" spans="1:33" ht="42">
      <c r="A33" s="2" t="s">
        <v>586</v>
      </c>
      <c r="B33" s="2" t="s">
        <v>155</v>
      </c>
      <c r="C33" s="2">
        <v>2023</v>
      </c>
      <c r="D33" s="2" t="s">
        <v>141</v>
      </c>
      <c r="E33" s="3" t="b">
        <v>1</v>
      </c>
      <c r="F33" s="2" t="s">
        <v>164</v>
      </c>
      <c r="G33" s="2" t="s">
        <v>439</v>
      </c>
      <c r="H33" s="2" t="s">
        <v>98</v>
      </c>
      <c r="I33" s="2" t="s">
        <v>440</v>
      </c>
      <c r="J33" s="2" t="s">
        <v>441</v>
      </c>
      <c r="K33" s="2" t="s">
        <v>442</v>
      </c>
      <c r="L33" s="2" t="s">
        <v>386</v>
      </c>
      <c r="M33" s="2" t="s">
        <v>587</v>
      </c>
      <c r="N33" s="2" t="s">
        <v>445</v>
      </c>
      <c r="O33" s="2" t="s">
        <v>588</v>
      </c>
      <c r="P33" s="2" t="s">
        <v>589</v>
      </c>
      <c r="Q33" s="2" t="s">
        <v>448</v>
      </c>
      <c r="R33" s="2" t="s">
        <v>590</v>
      </c>
      <c r="S33" s="2" t="s">
        <v>591</v>
      </c>
      <c r="T33" s="2"/>
      <c r="U33" s="2"/>
      <c r="V33" s="2" t="s">
        <v>515</v>
      </c>
      <c r="W33" s="2">
        <v>0.01</v>
      </c>
      <c r="X33" s="2" t="s">
        <v>395</v>
      </c>
      <c r="Y33" s="2" t="s">
        <v>452</v>
      </c>
      <c r="Z33" s="2" t="s">
        <v>107</v>
      </c>
      <c r="AA33" s="2" t="s">
        <v>107</v>
      </c>
      <c r="AB33" s="2">
        <v>1</v>
      </c>
      <c r="AC33" s="2" t="s">
        <v>397</v>
      </c>
      <c r="AD33" s="2" t="s">
        <v>453</v>
      </c>
      <c r="AE33" s="2" t="s">
        <v>399</v>
      </c>
      <c r="AF33" s="2" t="s">
        <v>162</v>
      </c>
      <c r="AG33" s="2"/>
    </row>
    <row r="34" spans="1:33" ht="42">
      <c r="A34" s="2" t="s">
        <v>592</v>
      </c>
      <c r="B34" s="2" t="s">
        <v>155</v>
      </c>
      <c r="C34" s="2">
        <v>2023</v>
      </c>
      <c r="D34" s="2" t="s">
        <v>141</v>
      </c>
      <c r="E34" s="3" t="b">
        <v>1</v>
      </c>
      <c r="F34" s="2" t="s">
        <v>164</v>
      </c>
      <c r="G34" s="2" t="s">
        <v>439</v>
      </c>
      <c r="H34" s="2" t="s">
        <v>98</v>
      </c>
      <c r="I34" s="2" t="s">
        <v>440</v>
      </c>
      <c r="J34" s="2" t="s">
        <v>441</v>
      </c>
      <c r="K34" s="2" t="s">
        <v>442</v>
      </c>
      <c r="L34" s="2" t="s">
        <v>386</v>
      </c>
      <c r="M34" s="2" t="s">
        <v>593</v>
      </c>
      <c r="N34" s="2" t="s">
        <v>445</v>
      </c>
      <c r="O34" s="2" t="s">
        <v>594</v>
      </c>
      <c r="P34" s="2" t="s">
        <v>595</v>
      </c>
      <c r="Q34" s="2" t="s">
        <v>448</v>
      </c>
      <c r="R34" s="2" t="s">
        <v>596</v>
      </c>
      <c r="S34" s="2" t="s">
        <v>597</v>
      </c>
      <c r="T34" s="2"/>
      <c r="U34" s="2"/>
      <c r="V34" s="2" t="s">
        <v>492</v>
      </c>
      <c r="W34" s="2">
        <v>0.03</v>
      </c>
      <c r="X34" s="2" t="s">
        <v>395</v>
      </c>
      <c r="Y34" s="2" t="s">
        <v>452</v>
      </c>
      <c r="Z34" s="2" t="s">
        <v>107</v>
      </c>
      <c r="AA34" s="2" t="s">
        <v>107</v>
      </c>
      <c r="AB34" s="2">
        <v>1</v>
      </c>
      <c r="AC34" s="2" t="s">
        <v>397</v>
      </c>
      <c r="AD34" s="2" t="s">
        <v>453</v>
      </c>
      <c r="AE34" s="2" t="s">
        <v>399</v>
      </c>
      <c r="AF34" s="2" t="s">
        <v>162</v>
      </c>
      <c r="AG34" s="2"/>
    </row>
    <row r="35" spans="1:33" ht="42">
      <c r="A35" s="2" t="s">
        <v>598</v>
      </c>
      <c r="B35" s="2" t="s">
        <v>155</v>
      </c>
      <c r="C35" s="2">
        <v>2023</v>
      </c>
      <c r="D35" s="2" t="s">
        <v>141</v>
      </c>
      <c r="E35" s="3" t="b">
        <v>1</v>
      </c>
      <c r="F35" s="2" t="s">
        <v>164</v>
      </c>
      <c r="G35" s="2" t="s">
        <v>439</v>
      </c>
      <c r="H35" s="2" t="s">
        <v>98</v>
      </c>
      <c r="I35" s="2" t="s">
        <v>440</v>
      </c>
      <c r="J35" s="2" t="s">
        <v>441</v>
      </c>
      <c r="K35" s="2" t="s">
        <v>442</v>
      </c>
      <c r="L35" s="2" t="s">
        <v>386</v>
      </c>
      <c r="M35" s="2" t="s">
        <v>599</v>
      </c>
      <c r="N35" s="2" t="s">
        <v>445</v>
      </c>
      <c r="O35" s="2" t="s">
        <v>600</v>
      </c>
      <c r="P35" s="2" t="s">
        <v>601</v>
      </c>
      <c r="Q35" s="2" t="s">
        <v>448</v>
      </c>
      <c r="R35" s="2" t="s">
        <v>602</v>
      </c>
      <c r="S35" s="2" t="s">
        <v>603</v>
      </c>
      <c r="T35" s="2"/>
      <c r="U35" s="2"/>
      <c r="V35" s="2" t="s">
        <v>482</v>
      </c>
      <c r="W35" s="2">
        <v>0.05</v>
      </c>
      <c r="X35" s="2" t="s">
        <v>483</v>
      </c>
      <c r="Y35" s="2" t="s">
        <v>452</v>
      </c>
      <c r="Z35" s="2" t="s">
        <v>107</v>
      </c>
      <c r="AA35" s="2" t="s">
        <v>107</v>
      </c>
      <c r="AB35" s="2">
        <v>1</v>
      </c>
      <c r="AC35" s="2" t="s">
        <v>397</v>
      </c>
      <c r="AD35" s="2" t="s">
        <v>453</v>
      </c>
      <c r="AE35" s="2" t="s">
        <v>399</v>
      </c>
      <c r="AF35" s="2" t="s">
        <v>162</v>
      </c>
      <c r="AG35" s="2"/>
    </row>
    <row r="36" spans="1:33" ht="42">
      <c r="A36" s="2" t="s">
        <v>604</v>
      </c>
      <c r="B36" s="2" t="s">
        <v>155</v>
      </c>
      <c r="C36" s="2">
        <v>2023</v>
      </c>
      <c r="D36" s="2" t="s">
        <v>141</v>
      </c>
      <c r="E36" s="3" t="b">
        <v>1</v>
      </c>
      <c r="F36" s="2" t="s">
        <v>164</v>
      </c>
      <c r="G36" s="2" t="s">
        <v>439</v>
      </c>
      <c r="H36" s="2" t="s">
        <v>98</v>
      </c>
      <c r="I36" s="2" t="s">
        <v>440</v>
      </c>
      <c r="J36" s="2" t="s">
        <v>441</v>
      </c>
      <c r="K36" s="2" t="s">
        <v>442</v>
      </c>
      <c r="L36" s="2" t="s">
        <v>386</v>
      </c>
      <c r="M36" s="2" t="s">
        <v>605</v>
      </c>
      <c r="N36" s="2" t="s">
        <v>445</v>
      </c>
      <c r="O36" s="2" t="s">
        <v>606</v>
      </c>
      <c r="P36" s="2" t="s">
        <v>607</v>
      </c>
      <c r="Q36" s="2" t="s">
        <v>448</v>
      </c>
      <c r="R36" s="2" t="s">
        <v>608</v>
      </c>
      <c r="S36" s="2" t="s">
        <v>609</v>
      </c>
      <c r="T36" s="2"/>
      <c r="U36" s="2"/>
      <c r="V36" s="2" t="s">
        <v>451</v>
      </c>
      <c r="W36" s="2">
        <v>0.04</v>
      </c>
      <c r="X36" s="2" t="s">
        <v>395</v>
      </c>
      <c r="Y36" s="2" t="s">
        <v>452</v>
      </c>
      <c r="Z36" s="2" t="s">
        <v>107</v>
      </c>
      <c r="AA36" s="2" t="s">
        <v>107</v>
      </c>
      <c r="AB36" s="2">
        <v>1</v>
      </c>
      <c r="AC36" s="2" t="s">
        <v>397</v>
      </c>
      <c r="AD36" s="2" t="s">
        <v>453</v>
      </c>
      <c r="AE36" s="2" t="s">
        <v>399</v>
      </c>
      <c r="AF36" s="2" t="s">
        <v>162</v>
      </c>
      <c r="AG36" s="2"/>
    </row>
    <row r="37" spans="1:33" ht="42">
      <c r="A37" s="2" t="s">
        <v>610</v>
      </c>
      <c r="B37" s="2" t="s">
        <v>155</v>
      </c>
      <c r="C37" s="2">
        <v>2023</v>
      </c>
      <c r="D37" s="2" t="s">
        <v>141</v>
      </c>
      <c r="E37" s="3" t="b">
        <v>1</v>
      </c>
      <c r="F37" s="2" t="s">
        <v>164</v>
      </c>
      <c r="G37" s="2" t="s">
        <v>439</v>
      </c>
      <c r="H37" s="2" t="s">
        <v>98</v>
      </c>
      <c r="I37" s="2" t="s">
        <v>440</v>
      </c>
      <c r="J37" s="2" t="s">
        <v>441</v>
      </c>
      <c r="K37" s="2" t="s">
        <v>442</v>
      </c>
      <c r="L37" s="2" t="s">
        <v>386</v>
      </c>
      <c r="M37" s="2" t="s">
        <v>611</v>
      </c>
      <c r="N37" s="2" t="s">
        <v>445</v>
      </c>
      <c r="O37" s="2" t="s">
        <v>612</v>
      </c>
      <c r="P37" s="2" t="s">
        <v>613</v>
      </c>
      <c r="Q37" s="2" t="s">
        <v>448</v>
      </c>
      <c r="R37" s="2" t="s">
        <v>614</v>
      </c>
      <c r="S37" s="2" t="s">
        <v>615</v>
      </c>
      <c r="T37" s="2"/>
      <c r="U37" s="2"/>
      <c r="V37" s="2" t="s">
        <v>451</v>
      </c>
      <c r="W37" s="2">
        <v>0.04</v>
      </c>
      <c r="X37" s="2" t="s">
        <v>395</v>
      </c>
      <c r="Y37" s="2" t="s">
        <v>452</v>
      </c>
      <c r="Z37" s="2" t="s">
        <v>107</v>
      </c>
      <c r="AA37" s="2" t="s">
        <v>107</v>
      </c>
      <c r="AB37" s="2">
        <v>-1</v>
      </c>
      <c r="AC37" s="2" t="s">
        <v>407</v>
      </c>
      <c r="AD37" s="2" t="s">
        <v>461</v>
      </c>
      <c r="AE37" s="2" t="s">
        <v>399</v>
      </c>
      <c r="AF37" s="2" t="s">
        <v>162</v>
      </c>
      <c r="AG37" s="2"/>
    </row>
    <row r="38" spans="1:33" ht="42">
      <c r="A38" s="2" t="s">
        <v>616</v>
      </c>
      <c r="B38" s="2" t="s">
        <v>155</v>
      </c>
      <c r="C38" s="2">
        <v>2023</v>
      </c>
      <c r="D38" s="2" t="s">
        <v>141</v>
      </c>
      <c r="E38" s="3" t="b">
        <v>1</v>
      </c>
      <c r="F38" s="2" t="s">
        <v>164</v>
      </c>
      <c r="G38" s="2" t="s">
        <v>439</v>
      </c>
      <c r="H38" s="2" t="s">
        <v>98</v>
      </c>
      <c r="I38" s="2" t="s">
        <v>440</v>
      </c>
      <c r="J38" s="2" t="s">
        <v>441</v>
      </c>
      <c r="K38" s="2" t="s">
        <v>442</v>
      </c>
      <c r="L38" s="2" t="s">
        <v>386</v>
      </c>
      <c r="M38" s="2" t="s">
        <v>617</v>
      </c>
      <c r="N38" s="2" t="s">
        <v>445</v>
      </c>
      <c r="O38" s="2" t="s">
        <v>618</v>
      </c>
      <c r="P38" s="2" t="s">
        <v>619</v>
      </c>
      <c r="Q38" s="2" t="s">
        <v>448</v>
      </c>
      <c r="R38" s="2" t="s">
        <v>620</v>
      </c>
      <c r="S38" s="2" t="s">
        <v>621</v>
      </c>
      <c r="T38" s="2"/>
      <c r="U38" s="2"/>
      <c r="V38" s="2" t="s">
        <v>451</v>
      </c>
      <c r="W38" s="2">
        <v>0.04</v>
      </c>
      <c r="X38" s="2" t="s">
        <v>395</v>
      </c>
      <c r="Y38" s="2" t="s">
        <v>452</v>
      </c>
      <c r="Z38" s="2" t="s">
        <v>107</v>
      </c>
      <c r="AA38" s="2" t="s">
        <v>107</v>
      </c>
      <c r="AB38" s="2">
        <v>1</v>
      </c>
      <c r="AC38" s="2" t="s">
        <v>397</v>
      </c>
      <c r="AD38" s="2" t="s">
        <v>453</v>
      </c>
      <c r="AE38" s="2" t="s">
        <v>399</v>
      </c>
      <c r="AF38" s="2" t="s">
        <v>162</v>
      </c>
      <c r="AG38" s="2"/>
    </row>
    <row r="39" spans="1:33" ht="42">
      <c r="A39" s="2" t="s">
        <v>622</v>
      </c>
      <c r="B39" s="2" t="s">
        <v>155</v>
      </c>
      <c r="C39" s="2">
        <v>2023</v>
      </c>
      <c r="D39" s="2" t="s">
        <v>141</v>
      </c>
      <c r="E39" s="3" t="b">
        <v>1</v>
      </c>
      <c r="F39" s="2" t="s">
        <v>164</v>
      </c>
      <c r="G39" s="2" t="s">
        <v>439</v>
      </c>
      <c r="H39" s="2" t="s">
        <v>98</v>
      </c>
      <c r="I39" s="2" t="s">
        <v>440</v>
      </c>
      <c r="J39" s="2" t="s">
        <v>441</v>
      </c>
      <c r="K39" s="2" t="s">
        <v>442</v>
      </c>
      <c r="L39" s="2" t="s">
        <v>386</v>
      </c>
      <c r="M39" s="2" t="s">
        <v>623</v>
      </c>
      <c r="N39" s="2" t="s">
        <v>445</v>
      </c>
      <c r="O39" s="2" t="s">
        <v>624</v>
      </c>
      <c r="P39" s="2" t="s">
        <v>625</v>
      </c>
      <c r="Q39" s="2" t="s">
        <v>448</v>
      </c>
      <c r="R39" s="2" t="s">
        <v>626</v>
      </c>
      <c r="S39" s="2" t="s">
        <v>627</v>
      </c>
      <c r="T39" s="2"/>
      <c r="U39" s="2"/>
      <c r="V39" s="2" t="s">
        <v>451</v>
      </c>
      <c r="W39" s="2">
        <v>0.04</v>
      </c>
      <c r="X39" s="2" t="s">
        <v>395</v>
      </c>
      <c r="Y39" s="2" t="s">
        <v>452</v>
      </c>
      <c r="Z39" s="2" t="s">
        <v>107</v>
      </c>
      <c r="AA39" s="2" t="s">
        <v>107</v>
      </c>
      <c r="AB39" s="2">
        <v>1</v>
      </c>
      <c r="AC39" s="2" t="s">
        <v>397</v>
      </c>
      <c r="AD39" s="2" t="s">
        <v>453</v>
      </c>
      <c r="AE39" s="2" t="s">
        <v>399</v>
      </c>
      <c r="AF39" s="2" t="s">
        <v>162</v>
      </c>
      <c r="AG39" s="2"/>
    </row>
    <row r="40" spans="1:33" ht="42">
      <c r="A40" s="2" t="s">
        <v>628</v>
      </c>
      <c r="B40" s="2" t="s">
        <v>155</v>
      </c>
      <c r="C40" s="2">
        <v>2023</v>
      </c>
      <c r="D40" s="2" t="s">
        <v>141</v>
      </c>
      <c r="E40" s="3" t="b">
        <v>1</v>
      </c>
      <c r="F40" s="2" t="s">
        <v>164</v>
      </c>
      <c r="G40" s="2" t="s">
        <v>439</v>
      </c>
      <c r="H40" s="2" t="s">
        <v>98</v>
      </c>
      <c r="I40" s="2" t="s">
        <v>440</v>
      </c>
      <c r="J40" s="2" t="s">
        <v>441</v>
      </c>
      <c r="K40" s="2" t="s">
        <v>442</v>
      </c>
      <c r="L40" s="2" t="s">
        <v>386</v>
      </c>
      <c r="M40" s="2" t="s">
        <v>629</v>
      </c>
      <c r="N40" s="2" t="s">
        <v>445</v>
      </c>
      <c r="O40" s="2" t="s">
        <v>630</v>
      </c>
      <c r="P40" s="2" t="s">
        <v>631</v>
      </c>
      <c r="Q40" s="2" t="s">
        <v>448</v>
      </c>
      <c r="R40" s="2" t="s">
        <v>632</v>
      </c>
      <c r="S40" s="2" t="s">
        <v>633</v>
      </c>
      <c r="T40" s="2"/>
      <c r="U40" s="2"/>
      <c r="V40" s="2" t="s">
        <v>492</v>
      </c>
      <c r="W40" s="2">
        <v>0.03</v>
      </c>
      <c r="X40" s="2" t="s">
        <v>395</v>
      </c>
      <c r="Y40" s="2" t="s">
        <v>452</v>
      </c>
      <c r="Z40" s="2" t="s">
        <v>107</v>
      </c>
      <c r="AA40" s="2" t="s">
        <v>107</v>
      </c>
      <c r="AB40" s="2">
        <v>-1</v>
      </c>
      <c r="AC40" s="2" t="s">
        <v>407</v>
      </c>
      <c r="AD40" s="2" t="s">
        <v>461</v>
      </c>
      <c r="AE40" s="2" t="s">
        <v>399</v>
      </c>
      <c r="AF40" s="2" t="s">
        <v>162</v>
      </c>
      <c r="AG40" s="2"/>
    </row>
    <row r="41" spans="1:33" ht="42">
      <c r="A41" s="2" t="s">
        <v>634</v>
      </c>
      <c r="B41" s="2" t="s">
        <v>155</v>
      </c>
      <c r="C41" s="2">
        <v>2023</v>
      </c>
      <c r="D41" s="2" t="s">
        <v>141</v>
      </c>
      <c r="E41" s="3" t="b">
        <v>1</v>
      </c>
      <c r="F41" s="2" t="s">
        <v>164</v>
      </c>
      <c r="G41" s="2" t="s">
        <v>439</v>
      </c>
      <c r="H41" s="2" t="s">
        <v>98</v>
      </c>
      <c r="I41" s="2" t="s">
        <v>440</v>
      </c>
      <c r="J41" s="2" t="s">
        <v>441</v>
      </c>
      <c r="K41" s="2" t="s">
        <v>442</v>
      </c>
      <c r="L41" s="2" t="s">
        <v>386</v>
      </c>
      <c r="M41" s="2" t="s">
        <v>635</v>
      </c>
      <c r="N41" s="2" t="s">
        <v>445</v>
      </c>
      <c r="O41" s="2" t="s">
        <v>636</v>
      </c>
      <c r="P41" s="2" t="s">
        <v>637</v>
      </c>
      <c r="Q41" s="2" t="s">
        <v>448</v>
      </c>
      <c r="R41" s="2" t="s">
        <v>638</v>
      </c>
      <c r="S41" s="2" t="s">
        <v>639</v>
      </c>
      <c r="T41" s="2"/>
      <c r="U41" s="2"/>
      <c r="V41" s="2" t="s">
        <v>451</v>
      </c>
      <c r="W41" s="2">
        <v>0.04</v>
      </c>
      <c r="X41" s="2" t="s">
        <v>395</v>
      </c>
      <c r="Y41" s="2" t="s">
        <v>452</v>
      </c>
      <c r="Z41" s="2" t="s">
        <v>107</v>
      </c>
      <c r="AA41" s="2" t="s">
        <v>107</v>
      </c>
      <c r="AB41" s="2">
        <v>1</v>
      </c>
      <c r="AC41" s="2" t="s">
        <v>397</v>
      </c>
      <c r="AD41" s="2" t="s">
        <v>453</v>
      </c>
      <c r="AE41" s="2" t="s">
        <v>399</v>
      </c>
      <c r="AF41" s="2" t="s">
        <v>162</v>
      </c>
      <c r="AG41" s="2"/>
    </row>
    <row r="42" spans="1:33" ht="42">
      <c r="A42" s="2" t="s">
        <v>640</v>
      </c>
      <c r="B42" s="2" t="s">
        <v>155</v>
      </c>
      <c r="C42" s="2">
        <v>2023</v>
      </c>
      <c r="D42" s="2" t="s">
        <v>141</v>
      </c>
      <c r="E42" s="3" t="b">
        <v>1</v>
      </c>
      <c r="F42" s="2" t="s">
        <v>164</v>
      </c>
      <c r="G42" s="2" t="s">
        <v>439</v>
      </c>
      <c r="H42" s="2" t="s">
        <v>98</v>
      </c>
      <c r="I42" s="2" t="s">
        <v>440</v>
      </c>
      <c r="J42" s="2" t="s">
        <v>441</v>
      </c>
      <c r="K42" s="2" t="s">
        <v>442</v>
      </c>
      <c r="L42" s="2" t="s">
        <v>386</v>
      </c>
      <c r="M42" s="2" t="s">
        <v>641</v>
      </c>
      <c r="N42" s="2" t="s">
        <v>445</v>
      </c>
      <c r="O42" s="2" t="s">
        <v>642</v>
      </c>
      <c r="P42" s="2" t="s">
        <v>643</v>
      </c>
      <c r="Q42" s="2" t="s">
        <v>448</v>
      </c>
      <c r="R42" s="2" t="s">
        <v>644</v>
      </c>
      <c r="S42" s="2" t="s">
        <v>645</v>
      </c>
      <c r="T42" s="2"/>
      <c r="U42" s="2"/>
      <c r="V42" s="2" t="s">
        <v>451</v>
      </c>
      <c r="W42" s="2">
        <v>0.04</v>
      </c>
      <c r="X42" s="2" t="s">
        <v>395</v>
      </c>
      <c r="Y42" s="2" t="s">
        <v>452</v>
      </c>
      <c r="Z42" s="2" t="s">
        <v>107</v>
      </c>
      <c r="AA42" s="2" t="s">
        <v>107</v>
      </c>
      <c r="AB42" s="2">
        <v>1</v>
      </c>
      <c r="AC42" s="2" t="s">
        <v>397</v>
      </c>
      <c r="AD42" s="2" t="s">
        <v>453</v>
      </c>
      <c r="AE42" s="2" t="s">
        <v>399</v>
      </c>
      <c r="AF42" s="2" t="s">
        <v>162</v>
      </c>
      <c r="AG42" s="2"/>
    </row>
    <row r="43" spans="1:33" ht="42">
      <c r="A43" s="2" t="s">
        <v>646</v>
      </c>
      <c r="B43" s="2" t="s">
        <v>155</v>
      </c>
      <c r="C43" s="2">
        <v>2023</v>
      </c>
      <c r="D43" s="2" t="s">
        <v>141</v>
      </c>
      <c r="E43" s="3" t="b">
        <v>1</v>
      </c>
      <c r="F43" s="2" t="s">
        <v>164</v>
      </c>
      <c r="G43" s="2" t="s">
        <v>439</v>
      </c>
      <c r="H43" s="2" t="s">
        <v>98</v>
      </c>
      <c r="I43" s="2" t="s">
        <v>440</v>
      </c>
      <c r="J43" s="2" t="s">
        <v>441</v>
      </c>
      <c r="K43" s="2" t="s">
        <v>442</v>
      </c>
      <c r="L43" s="2" t="s">
        <v>386</v>
      </c>
      <c r="M43" s="2" t="s">
        <v>647</v>
      </c>
      <c r="N43" s="2" t="s">
        <v>445</v>
      </c>
      <c r="O43" s="2" t="s">
        <v>648</v>
      </c>
      <c r="P43" s="2" t="s">
        <v>649</v>
      </c>
      <c r="Q43" s="2" t="s">
        <v>448</v>
      </c>
      <c r="R43" s="2" t="s">
        <v>650</v>
      </c>
      <c r="S43" s="2" t="s">
        <v>651</v>
      </c>
      <c r="T43" s="2"/>
      <c r="U43" s="2"/>
      <c r="V43" s="2" t="s">
        <v>460</v>
      </c>
      <c r="W43" s="2">
        <v>0.02</v>
      </c>
      <c r="X43" s="2" t="s">
        <v>395</v>
      </c>
      <c r="Y43" s="2" t="s">
        <v>452</v>
      </c>
      <c r="Z43" s="2" t="s">
        <v>107</v>
      </c>
      <c r="AA43" s="2" t="s">
        <v>107</v>
      </c>
      <c r="AB43" s="2">
        <v>1</v>
      </c>
      <c r="AC43" s="2" t="s">
        <v>397</v>
      </c>
      <c r="AD43" s="2" t="s">
        <v>453</v>
      </c>
      <c r="AE43" s="2" t="s">
        <v>399</v>
      </c>
      <c r="AF43" s="2" t="s">
        <v>162</v>
      </c>
      <c r="AG43" s="2"/>
    </row>
    <row r="44" spans="1:33" ht="42">
      <c r="A44" s="2" t="s">
        <v>652</v>
      </c>
      <c r="B44" s="2" t="s">
        <v>155</v>
      </c>
      <c r="C44" s="2">
        <v>2023</v>
      </c>
      <c r="D44" s="2" t="s">
        <v>141</v>
      </c>
      <c r="E44" s="3" t="b">
        <v>1</v>
      </c>
      <c r="F44" s="2" t="s">
        <v>164</v>
      </c>
      <c r="G44" s="2" t="s">
        <v>439</v>
      </c>
      <c r="H44" s="2" t="s">
        <v>98</v>
      </c>
      <c r="I44" s="2" t="s">
        <v>440</v>
      </c>
      <c r="J44" s="2" t="s">
        <v>441</v>
      </c>
      <c r="K44" s="2" t="s">
        <v>442</v>
      </c>
      <c r="L44" s="2" t="s">
        <v>386</v>
      </c>
      <c r="M44" s="2" t="s">
        <v>653</v>
      </c>
      <c r="N44" s="2" t="s">
        <v>445</v>
      </c>
      <c r="O44" s="2" t="s">
        <v>654</v>
      </c>
      <c r="P44" s="2" t="s">
        <v>655</v>
      </c>
      <c r="Q44" s="2" t="s">
        <v>448</v>
      </c>
      <c r="R44" s="2" t="s">
        <v>656</v>
      </c>
      <c r="S44" s="2" t="s">
        <v>657</v>
      </c>
      <c r="T44" s="2"/>
      <c r="U44" s="2"/>
      <c r="V44" s="2" t="s">
        <v>451</v>
      </c>
      <c r="W44" s="2">
        <v>0.04</v>
      </c>
      <c r="X44" s="2" t="s">
        <v>395</v>
      </c>
      <c r="Y44" s="2" t="s">
        <v>452</v>
      </c>
      <c r="Z44" s="2" t="s">
        <v>107</v>
      </c>
      <c r="AA44" s="2" t="s">
        <v>107</v>
      </c>
      <c r="AB44" s="2">
        <v>1</v>
      </c>
      <c r="AC44" s="2" t="s">
        <v>397</v>
      </c>
      <c r="AD44" s="2" t="s">
        <v>453</v>
      </c>
      <c r="AE44" s="2" t="s">
        <v>399</v>
      </c>
      <c r="AF44" s="2" t="s">
        <v>162</v>
      </c>
      <c r="AG44" s="2"/>
    </row>
    <row r="45" spans="1:33" ht="42">
      <c r="A45" s="2" t="s">
        <v>658</v>
      </c>
      <c r="B45" s="2" t="s">
        <v>155</v>
      </c>
      <c r="C45" s="2">
        <v>2023</v>
      </c>
      <c r="D45" s="2" t="s">
        <v>141</v>
      </c>
      <c r="E45" s="3" t="b">
        <v>1</v>
      </c>
      <c r="F45" s="2" t="s">
        <v>164</v>
      </c>
      <c r="G45" s="2" t="s">
        <v>439</v>
      </c>
      <c r="H45" s="2" t="s">
        <v>98</v>
      </c>
      <c r="I45" s="2" t="s">
        <v>440</v>
      </c>
      <c r="J45" s="2" t="s">
        <v>441</v>
      </c>
      <c r="K45" s="2" t="s">
        <v>442</v>
      </c>
      <c r="L45" s="2" t="s">
        <v>386</v>
      </c>
      <c r="M45" s="2" t="s">
        <v>659</v>
      </c>
      <c r="N45" s="2" t="s">
        <v>445</v>
      </c>
      <c r="O45" s="2" t="s">
        <v>660</v>
      </c>
      <c r="P45" s="2" t="s">
        <v>661</v>
      </c>
      <c r="Q45" s="2" t="s">
        <v>448</v>
      </c>
      <c r="R45" s="2" t="s">
        <v>662</v>
      </c>
      <c r="S45" s="2" t="s">
        <v>663</v>
      </c>
      <c r="T45" s="2"/>
      <c r="U45" s="2"/>
      <c r="V45" s="2" t="s">
        <v>460</v>
      </c>
      <c r="W45" s="2">
        <v>0.02</v>
      </c>
      <c r="X45" s="2" t="s">
        <v>395</v>
      </c>
      <c r="Y45" s="2" t="s">
        <v>452</v>
      </c>
      <c r="Z45" s="2" t="s">
        <v>107</v>
      </c>
      <c r="AA45" s="2" t="s">
        <v>107</v>
      </c>
      <c r="AB45" s="2">
        <v>-1</v>
      </c>
      <c r="AC45" s="2" t="s">
        <v>407</v>
      </c>
      <c r="AD45" s="2" t="s">
        <v>461</v>
      </c>
      <c r="AE45" s="2" t="s">
        <v>399</v>
      </c>
      <c r="AF45" s="2" t="s">
        <v>162</v>
      </c>
      <c r="AG45" s="2"/>
    </row>
    <row r="46" spans="1:33" ht="42">
      <c r="A46" s="2" t="s">
        <v>664</v>
      </c>
      <c r="B46" s="2" t="s">
        <v>155</v>
      </c>
      <c r="C46" s="2">
        <v>2023</v>
      </c>
      <c r="D46" s="2" t="s">
        <v>141</v>
      </c>
      <c r="E46" s="3" t="b">
        <v>1</v>
      </c>
      <c r="F46" s="2" t="s">
        <v>164</v>
      </c>
      <c r="G46" s="2" t="s">
        <v>439</v>
      </c>
      <c r="H46" s="2" t="s">
        <v>98</v>
      </c>
      <c r="I46" s="2" t="s">
        <v>440</v>
      </c>
      <c r="J46" s="2" t="s">
        <v>441</v>
      </c>
      <c r="K46" s="2" t="s">
        <v>442</v>
      </c>
      <c r="L46" s="2" t="s">
        <v>386</v>
      </c>
      <c r="M46" s="2" t="s">
        <v>665</v>
      </c>
      <c r="N46" s="2" t="s">
        <v>445</v>
      </c>
      <c r="O46" s="2" t="s">
        <v>666</v>
      </c>
      <c r="P46" s="2" t="s">
        <v>667</v>
      </c>
      <c r="Q46" s="2" t="s">
        <v>448</v>
      </c>
      <c r="R46" s="2" t="s">
        <v>668</v>
      </c>
      <c r="S46" s="2" t="s">
        <v>669</v>
      </c>
      <c r="T46" s="2"/>
      <c r="U46" s="2"/>
      <c r="V46" s="2" t="s">
        <v>451</v>
      </c>
      <c r="W46" s="2">
        <v>0.04</v>
      </c>
      <c r="X46" s="2" t="s">
        <v>395</v>
      </c>
      <c r="Y46" s="2" t="s">
        <v>452</v>
      </c>
      <c r="Z46" s="2" t="s">
        <v>107</v>
      </c>
      <c r="AA46" s="2" t="s">
        <v>107</v>
      </c>
      <c r="AB46" s="2">
        <v>1</v>
      </c>
      <c r="AC46" s="2" t="s">
        <v>397</v>
      </c>
      <c r="AD46" s="2" t="s">
        <v>453</v>
      </c>
      <c r="AE46" s="2" t="s">
        <v>399</v>
      </c>
      <c r="AF46" s="2" t="s">
        <v>162</v>
      </c>
      <c r="AG46" s="2"/>
    </row>
    <row r="47" spans="1:33" ht="42">
      <c r="A47" s="2" t="s">
        <v>670</v>
      </c>
      <c r="B47" s="2" t="s">
        <v>155</v>
      </c>
      <c r="C47" s="2">
        <v>2023</v>
      </c>
      <c r="D47" s="2" t="s">
        <v>141</v>
      </c>
      <c r="E47" s="3" t="b">
        <v>1</v>
      </c>
      <c r="F47" s="2" t="s">
        <v>164</v>
      </c>
      <c r="G47" s="2" t="s">
        <v>439</v>
      </c>
      <c r="H47" s="2" t="s">
        <v>98</v>
      </c>
      <c r="I47" s="2" t="s">
        <v>440</v>
      </c>
      <c r="J47" s="2" t="s">
        <v>441</v>
      </c>
      <c r="K47" s="2" t="s">
        <v>442</v>
      </c>
      <c r="L47" s="2" t="s">
        <v>386</v>
      </c>
      <c r="M47" s="2" t="s">
        <v>671</v>
      </c>
      <c r="N47" s="2" t="s">
        <v>445</v>
      </c>
      <c r="O47" s="2" t="s">
        <v>672</v>
      </c>
      <c r="P47" s="2" t="s">
        <v>673</v>
      </c>
      <c r="Q47" s="2" t="s">
        <v>448</v>
      </c>
      <c r="R47" s="2" t="s">
        <v>674</v>
      </c>
      <c r="S47" s="2" t="s">
        <v>675</v>
      </c>
      <c r="T47" s="2"/>
      <c r="U47" s="2"/>
      <c r="V47" s="2" t="s">
        <v>451</v>
      </c>
      <c r="W47" s="2">
        <v>0.04</v>
      </c>
      <c r="X47" s="2" t="s">
        <v>395</v>
      </c>
      <c r="Y47" s="2" t="s">
        <v>452</v>
      </c>
      <c r="Z47" s="2" t="s">
        <v>107</v>
      </c>
      <c r="AA47" s="2" t="s">
        <v>107</v>
      </c>
      <c r="AB47" s="2">
        <v>1</v>
      </c>
      <c r="AC47" s="2" t="s">
        <v>397</v>
      </c>
      <c r="AD47" s="2" t="s">
        <v>453</v>
      </c>
      <c r="AE47" s="2" t="s">
        <v>399</v>
      </c>
      <c r="AF47" s="2" t="s">
        <v>162</v>
      </c>
      <c r="AG47" s="2"/>
    </row>
    <row r="48" spans="1:33" ht="42">
      <c r="A48" s="2" t="s">
        <v>676</v>
      </c>
      <c r="B48" s="2" t="s">
        <v>155</v>
      </c>
      <c r="C48" s="2">
        <v>2023</v>
      </c>
      <c r="D48" s="2" t="s">
        <v>141</v>
      </c>
      <c r="E48" s="3" t="b">
        <v>1</v>
      </c>
      <c r="F48" s="2" t="s">
        <v>164</v>
      </c>
      <c r="G48" s="2" t="s">
        <v>439</v>
      </c>
      <c r="H48" s="2" t="s">
        <v>98</v>
      </c>
      <c r="I48" s="2" t="s">
        <v>440</v>
      </c>
      <c r="J48" s="2" t="s">
        <v>441</v>
      </c>
      <c r="K48" s="2" t="s">
        <v>442</v>
      </c>
      <c r="L48" s="2" t="s">
        <v>386</v>
      </c>
      <c r="M48" s="2" t="s">
        <v>677</v>
      </c>
      <c r="N48" s="2" t="s">
        <v>445</v>
      </c>
      <c r="O48" s="2" t="s">
        <v>678</v>
      </c>
      <c r="P48" s="2" t="s">
        <v>679</v>
      </c>
      <c r="Q48" s="2" t="s">
        <v>448</v>
      </c>
      <c r="R48" s="2" t="s">
        <v>680</v>
      </c>
      <c r="S48" s="2" t="s">
        <v>681</v>
      </c>
      <c r="T48" s="2"/>
      <c r="U48" s="2"/>
      <c r="V48" s="2" t="s">
        <v>682</v>
      </c>
      <c r="W48" s="2">
        <v>0</v>
      </c>
      <c r="X48" s="2" t="s">
        <v>395</v>
      </c>
      <c r="Y48" s="2" t="s">
        <v>452</v>
      </c>
      <c r="Z48" s="2" t="s">
        <v>107</v>
      </c>
      <c r="AA48" s="2" t="s">
        <v>107</v>
      </c>
      <c r="AB48" s="2">
        <v>1</v>
      </c>
      <c r="AC48" s="2" t="s">
        <v>397</v>
      </c>
      <c r="AD48" s="2" t="s">
        <v>453</v>
      </c>
      <c r="AE48" s="2" t="s">
        <v>399</v>
      </c>
      <c r="AF48" s="2" t="s">
        <v>162</v>
      </c>
      <c r="AG48" s="2"/>
    </row>
    <row r="49" spans="1:33" ht="42">
      <c r="A49" s="2" t="s">
        <v>683</v>
      </c>
      <c r="B49" s="2" t="s">
        <v>155</v>
      </c>
      <c r="C49" s="2">
        <v>2023</v>
      </c>
      <c r="D49" s="2" t="s">
        <v>141</v>
      </c>
      <c r="E49" s="3" t="b">
        <v>1</v>
      </c>
      <c r="F49" s="2" t="s">
        <v>164</v>
      </c>
      <c r="G49" s="2" t="s">
        <v>439</v>
      </c>
      <c r="H49" s="2" t="s">
        <v>98</v>
      </c>
      <c r="I49" s="2" t="s">
        <v>440</v>
      </c>
      <c r="J49" s="2" t="s">
        <v>441</v>
      </c>
      <c r="K49" s="2" t="s">
        <v>442</v>
      </c>
      <c r="L49" s="2" t="s">
        <v>386</v>
      </c>
      <c r="M49" s="2" t="s">
        <v>684</v>
      </c>
      <c r="N49" s="2" t="s">
        <v>445</v>
      </c>
      <c r="O49" s="2" t="s">
        <v>685</v>
      </c>
      <c r="P49" s="2" t="s">
        <v>686</v>
      </c>
      <c r="Q49" s="2" t="s">
        <v>448</v>
      </c>
      <c r="R49" s="2" t="s">
        <v>687</v>
      </c>
      <c r="S49" s="2" t="s">
        <v>688</v>
      </c>
      <c r="T49" s="2"/>
      <c r="U49" s="2"/>
      <c r="V49" s="2" t="s">
        <v>451</v>
      </c>
      <c r="W49" s="2">
        <v>0.04</v>
      </c>
      <c r="X49" s="2" t="s">
        <v>395</v>
      </c>
      <c r="Y49" s="2" t="s">
        <v>452</v>
      </c>
      <c r="Z49" s="2" t="s">
        <v>107</v>
      </c>
      <c r="AA49" s="2" t="s">
        <v>107</v>
      </c>
      <c r="AB49" s="2">
        <v>1</v>
      </c>
      <c r="AC49" s="2" t="s">
        <v>397</v>
      </c>
      <c r="AD49" s="2" t="s">
        <v>453</v>
      </c>
      <c r="AE49" s="2" t="s">
        <v>399</v>
      </c>
      <c r="AF49" s="2" t="s">
        <v>162</v>
      </c>
      <c r="AG49" s="2"/>
    </row>
    <row r="50" spans="1:33" ht="42">
      <c r="A50" s="2" t="s">
        <v>689</v>
      </c>
      <c r="B50" s="2" t="s">
        <v>155</v>
      </c>
      <c r="C50" s="2">
        <v>2023</v>
      </c>
      <c r="D50" s="2" t="s">
        <v>141</v>
      </c>
      <c r="E50" s="3" t="b">
        <v>1</v>
      </c>
      <c r="F50" s="2" t="s">
        <v>164</v>
      </c>
      <c r="G50" s="2" t="s">
        <v>439</v>
      </c>
      <c r="H50" s="2" t="s">
        <v>98</v>
      </c>
      <c r="I50" s="2" t="s">
        <v>440</v>
      </c>
      <c r="J50" s="2" t="s">
        <v>690</v>
      </c>
      <c r="K50" s="2" t="s">
        <v>442</v>
      </c>
      <c r="L50" s="2" t="s">
        <v>691</v>
      </c>
      <c r="M50" s="2" t="s">
        <v>692</v>
      </c>
      <c r="N50" s="2"/>
      <c r="O50" s="2"/>
      <c r="P50" s="2" t="s">
        <v>693</v>
      </c>
      <c r="Q50" s="2"/>
      <c r="R50" s="2"/>
      <c r="S50" s="2" t="s">
        <v>693</v>
      </c>
      <c r="T50" s="2" t="s">
        <v>694</v>
      </c>
      <c r="U50" s="2"/>
      <c r="V50" s="2" t="s">
        <v>394</v>
      </c>
      <c r="W50" s="2">
        <v>1E-3</v>
      </c>
      <c r="X50" s="2" t="s">
        <v>395</v>
      </c>
      <c r="Y50" s="2" t="s">
        <v>690</v>
      </c>
      <c r="Z50" s="2" t="s">
        <v>107</v>
      </c>
      <c r="AA50" s="2" t="s">
        <v>107</v>
      </c>
      <c r="AB50" s="2">
        <v>1</v>
      </c>
      <c r="AC50" s="2" t="s">
        <v>397</v>
      </c>
      <c r="AD50" s="2" t="s">
        <v>695</v>
      </c>
      <c r="AE50" s="2" t="s">
        <v>399</v>
      </c>
      <c r="AF50" s="2" t="s">
        <v>162</v>
      </c>
      <c r="AG50" s="2"/>
    </row>
    <row r="51" spans="1:33" ht="42">
      <c r="A51" s="2" t="s">
        <v>696</v>
      </c>
      <c r="B51" s="2" t="s">
        <v>155</v>
      </c>
      <c r="C51" s="2">
        <v>2023</v>
      </c>
      <c r="D51" s="2" t="s">
        <v>141</v>
      </c>
      <c r="E51" s="3" t="b">
        <v>1</v>
      </c>
      <c r="F51" s="2" t="s">
        <v>164</v>
      </c>
      <c r="G51" s="2" t="s">
        <v>439</v>
      </c>
      <c r="H51" s="2" t="s">
        <v>98</v>
      </c>
      <c r="I51" s="2" t="s">
        <v>440</v>
      </c>
      <c r="J51" s="2" t="s">
        <v>690</v>
      </c>
      <c r="K51" s="2" t="s">
        <v>442</v>
      </c>
      <c r="L51" s="2" t="s">
        <v>386</v>
      </c>
      <c r="M51" s="2" t="s">
        <v>697</v>
      </c>
      <c r="N51" s="2"/>
      <c r="O51" s="2"/>
      <c r="P51" s="2" t="s">
        <v>693</v>
      </c>
      <c r="Q51" s="2"/>
      <c r="R51" s="2"/>
      <c r="S51" s="2" t="s">
        <v>693</v>
      </c>
      <c r="T51" s="2" t="s">
        <v>698</v>
      </c>
      <c r="U51" s="2"/>
      <c r="V51" s="2" t="s">
        <v>699</v>
      </c>
      <c r="W51" s="2">
        <v>8.0000000000000002E-3</v>
      </c>
      <c r="X51" s="2" t="s">
        <v>395</v>
      </c>
      <c r="Y51" s="2" t="s">
        <v>690</v>
      </c>
      <c r="Z51" s="2" t="s">
        <v>107</v>
      </c>
      <c r="AA51" s="2" t="s">
        <v>107</v>
      </c>
      <c r="AB51" s="2">
        <v>1</v>
      </c>
      <c r="AC51" s="2" t="s">
        <v>397</v>
      </c>
      <c r="AD51" s="2" t="s">
        <v>695</v>
      </c>
      <c r="AE51" s="2" t="s">
        <v>399</v>
      </c>
      <c r="AF51" s="2" t="s">
        <v>162</v>
      </c>
      <c r="AG51" s="2"/>
    </row>
    <row r="52" spans="1:33" ht="42">
      <c r="A52" s="2" t="s">
        <v>700</v>
      </c>
      <c r="B52" s="2" t="s">
        <v>155</v>
      </c>
      <c r="C52" s="2">
        <v>2023</v>
      </c>
      <c r="D52" s="2" t="s">
        <v>141</v>
      </c>
      <c r="E52" s="3" t="b">
        <v>1</v>
      </c>
      <c r="F52" s="2" t="s">
        <v>164</v>
      </c>
      <c r="G52" s="2" t="s">
        <v>439</v>
      </c>
      <c r="H52" s="2" t="s">
        <v>98</v>
      </c>
      <c r="I52" s="2" t="s">
        <v>440</v>
      </c>
      <c r="J52" s="2" t="s">
        <v>690</v>
      </c>
      <c r="K52" s="2" t="s">
        <v>442</v>
      </c>
      <c r="L52" s="2" t="s">
        <v>386</v>
      </c>
      <c r="M52" s="2" t="s">
        <v>701</v>
      </c>
      <c r="N52" s="2"/>
      <c r="O52" s="2"/>
      <c r="P52" s="2" t="s">
        <v>693</v>
      </c>
      <c r="Q52" s="2"/>
      <c r="R52" s="2"/>
      <c r="S52" s="2" t="s">
        <v>693</v>
      </c>
      <c r="T52" s="2" t="s">
        <v>702</v>
      </c>
      <c r="U52" s="2"/>
      <c r="V52" s="2" t="s">
        <v>703</v>
      </c>
      <c r="W52" s="2">
        <v>6.0000000000000001E-3</v>
      </c>
      <c r="X52" s="2" t="s">
        <v>395</v>
      </c>
      <c r="Y52" s="2" t="s">
        <v>690</v>
      </c>
      <c r="Z52" s="2" t="s">
        <v>107</v>
      </c>
      <c r="AA52" s="2" t="s">
        <v>107</v>
      </c>
      <c r="AB52" s="2">
        <v>1</v>
      </c>
      <c r="AC52" s="2" t="s">
        <v>397</v>
      </c>
      <c r="AD52" s="2" t="s">
        <v>695</v>
      </c>
      <c r="AE52" s="2" t="s">
        <v>399</v>
      </c>
      <c r="AF52" s="2" t="s">
        <v>162</v>
      </c>
      <c r="AG52" s="2"/>
    </row>
    <row r="53" spans="1:33" ht="42">
      <c r="A53" s="2" t="s">
        <v>704</v>
      </c>
      <c r="B53" s="2" t="s">
        <v>155</v>
      </c>
      <c r="C53" s="2">
        <v>2023</v>
      </c>
      <c r="D53" s="2" t="s">
        <v>141</v>
      </c>
      <c r="E53" s="3" t="b">
        <v>1</v>
      </c>
      <c r="F53" s="2" t="s">
        <v>164</v>
      </c>
      <c r="G53" s="2" t="s">
        <v>439</v>
      </c>
      <c r="H53" s="2" t="s">
        <v>98</v>
      </c>
      <c r="I53" s="2" t="s">
        <v>440</v>
      </c>
      <c r="J53" s="2" t="s">
        <v>690</v>
      </c>
      <c r="K53" s="2" t="s">
        <v>442</v>
      </c>
      <c r="L53" s="2" t="s">
        <v>410</v>
      </c>
      <c r="M53" s="2" t="s">
        <v>705</v>
      </c>
      <c r="N53" s="2"/>
      <c r="O53" s="2"/>
      <c r="P53" s="2" t="s">
        <v>693</v>
      </c>
      <c r="Q53" s="2"/>
      <c r="R53" s="2"/>
      <c r="S53" s="2" t="s">
        <v>693</v>
      </c>
      <c r="T53" s="2" t="s">
        <v>706</v>
      </c>
      <c r="U53" s="2"/>
      <c r="V53" s="2" t="s">
        <v>707</v>
      </c>
      <c r="W53" s="2">
        <v>2E-3</v>
      </c>
      <c r="X53" s="2" t="s">
        <v>395</v>
      </c>
      <c r="Y53" s="2" t="s">
        <v>690</v>
      </c>
      <c r="Z53" s="2" t="s">
        <v>107</v>
      </c>
      <c r="AA53" s="2" t="s">
        <v>107</v>
      </c>
      <c r="AB53" s="2">
        <v>1</v>
      </c>
      <c r="AC53" s="2" t="s">
        <v>397</v>
      </c>
      <c r="AD53" s="2" t="s">
        <v>695</v>
      </c>
      <c r="AE53" s="2" t="s">
        <v>399</v>
      </c>
      <c r="AF53" s="2" t="s">
        <v>162</v>
      </c>
      <c r="AG53" s="2"/>
    </row>
    <row r="54" spans="1:33" ht="42">
      <c r="A54" s="2" t="s">
        <v>708</v>
      </c>
      <c r="B54" s="2" t="s">
        <v>155</v>
      </c>
      <c r="C54" s="2">
        <v>2023</v>
      </c>
      <c r="D54" s="2" t="s">
        <v>141</v>
      </c>
      <c r="E54" s="3" t="b">
        <v>1</v>
      </c>
      <c r="F54" s="2" t="s">
        <v>164</v>
      </c>
      <c r="G54" s="2" t="s">
        <v>439</v>
      </c>
      <c r="H54" s="2" t="s">
        <v>98</v>
      </c>
      <c r="I54" s="2" t="s">
        <v>440</v>
      </c>
      <c r="J54" s="2" t="s">
        <v>441</v>
      </c>
      <c r="K54" s="2" t="s">
        <v>442</v>
      </c>
      <c r="L54" s="2" t="s">
        <v>410</v>
      </c>
      <c r="M54" s="2" t="s">
        <v>709</v>
      </c>
      <c r="N54" s="2" t="s">
        <v>445</v>
      </c>
      <c r="O54" s="2" t="s">
        <v>710</v>
      </c>
      <c r="P54" s="2" t="s">
        <v>711</v>
      </c>
      <c r="Q54" s="2" t="s">
        <v>448</v>
      </c>
      <c r="R54" s="2" t="s">
        <v>712</v>
      </c>
      <c r="S54" s="2" t="s">
        <v>713</v>
      </c>
      <c r="T54" s="2"/>
      <c r="U54" s="2"/>
      <c r="V54" s="2" t="s">
        <v>714</v>
      </c>
      <c r="W54" s="2">
        <v>0.62</v>
      </c>
      <c r="X54" s="2" t="s">
        <v>107</v>
      </c>
      <c r="Y54" s="2" t="s">
        <v>452</v>
      </c>
      <c r="Z54" s="2" t="s">
        <v>107</v>
      </c>
      <c r="AA54" s="2" t="s">
        <v>107</v>
      </c>
      <c r="AB54" s="2">
        <v>0</v>
      </c>
      <c r="AC54" s="2" t="s">
        <v>715</v>
      </c>
      <c r="AD54" s="2" t="s">
        <v>716</v>
      </c>
      <c r="AE54" s="2" t="s">
        <v>399</v>
      </c>
      <c r="AF54" s="2" t="s">
        <v>162</v>
      </c>
      <c r="AG54" s="2"/>
    </row>
    <row r="55" spans="1:33" ht="42">
      <c r="A55" s="2" t="s">
        <v>717</v>
      </c>
      <c r="B55" s="2" t="s">
        <v>155</v>
      </c>
      <c r="C55" s="2">
        <v>2023</v>
      </c>
      <c r="D55" s="2" t="s">
        <v>141</v>
      </c>
      <c r="E55" s="3" t="b">
        <v>1</v>
      </c>
      <c r="F55" s="2" t="s">
        <v>164</v>
      </c>
      <c r="G55" s="2" t="s">
        <v>439</v>
      </c>
      <c r="H55" s="2" t="s">
        <v>98</v>
      </c>
      <c r="I55" s="2" t="s">
        <v>440</v>
      </c>
      <c r="J55" s="2" t="s">
        <v>441</v>
      </c>
      <c r="K55" s="2" t="s">
        <v>442</v>
      </c>
      <c r="L55" s="2" t="s">
        <v>410</v>
      </c>
      <c r="M55" s="2" t="s">
        <v>718</v>
      </c>
      <c r="N55" s="2" t="s">
        <v>445</v>
      </c>
      <c r="O55" s="2" t="s">
        <v>719</v>
      </c>
      <c r="P55" s="2" t="s">
        <v>720</v>
      </c>
      <c r="Q55" s="2" t="s">
        <v>448</v>
      </c>
      <c r="R55" s="2" t="s">
        <v>721</v>
      </c>
      <c r="S55" s="2" t="s">
        <v>722</v>
      </c>
      <c r="T55" s="2"/>
      <c r="U55" s="2"/>
      <c r="V55" s="2" t="s">
        <v>723</v>
      </c>
      <c r="W55" s="2">
        <v>0.16</v>
      </c>
      <c r="X55" s="2" t="s">
        <v>107</v>
      </c>
      <c r="Y55" s="2" t="s">
        <v>452</v>
      </c>
      <c r="Z55" s="2" t="s">
        <v>107</v>
      </c>
      <c r="AA55" s="2" t="s">
        <v>107</v>
      </c>
      <c r="AB55" s="2">
        <v>0</v>
      </c>
      <c r="AC55" s="2" t="s">
        <v>715</v>
      </c>
      <c r="AD55" s="2" t="s">
        <v>716</v>
      </c>
      <c r="AE55" s="2" t="s">
        <v>399</v>
      </c>
      <c r="AF55" s="2" t="s">
        <v>162</v>
      </c>
      <c r="AG55" s="2"/>
    </row>
    <row r="56" spans="1:33" ht="28">
      <c r="A56" s="2" t="s">
        <v>724</v>
      </c>
      <c r="B56" s="2" t="s">
        <v>241</v>
      </c>
      <c r="C56" s="2">
        <v>2019</v>
      </c>
      <c r="D56" s="2" t="s">
        <v>243</v>
      </c>
      <c r="E56" s="3" t="b">
        <v>0</v>
      </c>
      <c r="F56" s="2" t="s">
        <v>237</v>
      </c>
      <c r="G56" s="2" t="s">
        <v>725</v>
      </c>
      <c r="H56" s="2" t="s">
        <v>247</v>
      </c>
      <c r="I56" s="2" t="s">
        <v>726</v>
      </c>
      <c r="J56" s="2" t="s">
        <v>727</v>
      </c>
      <c r="K56" s="2" t="s">
        <v>728</v>
      </c>
      <c r="L56" s="2" t="s">
        <v>580</v>
      </c>
      <c r="M56" s="2" t="s">
        <v>729</v>
      </c>
      <c r="N56" s="2" t="s">
        <v>730</v>
      </c>
      <c r="O56" s="2" t="s">
        <v>731</v>
      </c>
      <c r="P56" s="2"/>
      <c r="Q56" s="2" t="s">
        <v>732</v>
      </c>
      <c r="R56" s="2" t="s">
        <v>733</v>
      </c>
      <c r="S56" s="2"/>
      <c r="T56" s="2"/>
      <c r="U56" s="2"/>
      <c r="V56" s="2" t="s">
        <v>394</v>
      </c>
      <c r="W56" s="2">
        <v>1E-3</v>
      </c>
      <c r="X56" s="2" t="s">
        <v>395</v>
      </c>
      <c r="Y56" s="2" t="s">
        <v>734</v>
      </c>
      <c r="Z56" s="2" t="s">
        <v>107</v>
      </c>
      <c r="AA56" s="2" t="s">
        <v>107</v>
      </c>
      <c r="AB56" s="2">
        <v>1</v>
      </c>
      <c r="AC56" s="2" t="s">
        <v>397</v>
      </c>
      <c r="AD56" s="2" t="s">
        <v>735</v>
      </c>
      <c r="AE56" s="2" t="s">
        <v>399</v>
      </c>
      <c r="AF56" s="2" t="s">
        <v>251</v>
      </c>
      <c r="AG56" s="2"/>
    </row>
    <row r="57" spans="1:33" ht="28">
      <c r="A57" s="2" t="s">
        <v>736</v>
      </c>
      <c r="B57" s="2" t="s">
        <v>241</v>
      </c>
      <c r="C57" s="2">
        <v>2019</v>
      </c>
      <c r="D57" s="2" t="s">
        <v>243</v>
      </c>
      <c r="E57" s="3" t="b">
        <v>0</v>
      </c>
      <c r="F57" s="2" t="s">
        <v>237</v>
      </c>
      <c r="G57" s="2" t="s">
        <v>725</v>
      </c>
      <c r="H57" s="2" t="s">
        <v>247</v>
      </c>
      <c r="I57" s="2" t="s">
        <v>726</v>
      </c>
      <c r="J57" s="2" t="s">
        <v>727</v>
      </c>
      <c r="K57" s="2" t="s">
        <v>728</v>
      </c>
      <c r="L57" s="2" t="s">
        <v>580</v>
      </c>
      <c r="M57" s="2" t="s">
        <v>737</v>
      </c>
      <c r="N57" s="2" t="s">
        <v>730</v>
      </c>
      <c r="O57" s="2">
        <v>0.69</v>
      </c>
      <c r="P57" s="2"/>
      <c r="Q57" s="2" t="s">
        <v>732</v>
      </c>
      <c r="R57" s="2">
        <v>0</v>
      </c>
      <c r="S57" s="2"/>
      <c r="T57" s="2"/>
      <c r="U57" s="2"/>
      <c r="V57" s="2" t="s">
        <v>394</v>
      </c>
      <c r="W57" s="2">
        <v>1E-3</v>
      </c>
      <c r="X57" s="2" t="s">
        <v>395</v>
      </c>
      <c r="Y57" s="2" t="s">
        <v>734</v>
      </c>
      <c r="Z57" s="2" t="s">
        <v>107</v>
      </c>
      <c r="AA57" s="2" t="s">
        <v>107</v>
      </c>
      <c r="AB57" s="2">
        <v>1</v>
      </c>
      <c r="AC57" s="2" t="s">
        <v>397</v>
      </c>
      <c r="AD57" s="2" t="s">
        <v>738</v>
      </c>
      <c r="AE57" s="2" t="s">
        <v>399</v>
      </c>
      <c r="AF57" s="2" t="s">
        <v>251</v>
      </c>
      <c r="AG57" s="2"/>
    </row>
    <row r="58" spans="1:33" ht="28">
      <c r="A58" s="2" t="s">
        <v>739</v>
      </c>
      <c r="B58" s="2" t="s">
        <v>241</v>
      </c>
      <c r="C58" s="2">
        <v>2019</v>
      </c>
      <c r="D58" s="2" t="s">
        <v>243</v>
      </c>
      <c r="E58" s="3" t="b">
        <v>0</v>
      </c>
      <c r="F58" s="2" t="s">
        <v>237</v>
      </c>
      <c r="G58" s="2" t="s">
        <v>725</v>
      </c>
      <c r="H58" s="2" t="s">
        <v>247</v>
      </c>
      <c r="I58" s="2" t="s">
        <v>726</v>
      </c>
      <c r="J58" s="2" t="s">
        <v>727</v>
      </c>
      <c r="K58" s="2" t="s">
        <v>728</v>
      </c>
      <c r="L58" s="2" t="s">
        <v>580</v>
      </c>
      <c r="M58" s="2" t="s">
        <v>740</v>
      </c>
      <c r="N58" s="2" t="s">
        <v>730</v>
      </c>
      <c r="O58" s="2">
        <v>0.63</v>
      </c>
      <c r="P58" s="2"/>
      <c r="Q58" s="2" t="s">
        <v>732</v>
      </c>
      <c r="R58" s="2">
        <v>0</v>
      </c>
      <c r="S58" s="2"/>
      <c r="T58" s="2"/>
      <c r="U58" s="2"/>
      <c r="V58" s="2" t="s">
        <v>406</v>
      </c>
      <c r="W58" s="2">
        <v>5.0000000000000001E-3</v>
      </c>
      <c r="X58" s="2" t="s">
        <v>395</v>
      </c>
      <c r="Y58" s="2" t="s">
        <v>734</v>
      </c>
      <c r="Z58" s="2" t="s">
        <v>107</v>
      </c>
      <c r="AA58" s="2" t="s">
        <v>107</v>
      </c>
      <c r="AB58" s="2">
        <v>1</v>
      </c>
      <c r="AC58" s="2" t="s">
        <v>397</v>
      </c>
      <c r="AD58" s="2" t="s">
        <v>738</v>
      </c>
      <c r="AE58" s="2" t="s">
        <v>399</v>
      </c>
      <c r="AF58" s="2" t="s">
        <v>251</v>
      </c>
      <c r="AG58" s="2"/>
    </row>
    <row r="59" spans="1:33" ht="28">
      <c r="A59" s="2" t="s">
        <v>741</v>
      </c>
      <c r="B59" s="2" t="s">
        <v>241</v>
      </c>
      <c r="C59" s="2">
        <v>2019</v>
      </c>
      <c r="D59" s="2" t="s">
        <v>243</v>
      </c>
      <c r="E59" s="3" t="b">
        <v>0</v>
      </c>
      <c r="F59" s="2" t="s">
        <v>237</v>
      </c>
      <c r="G59" s="2" t="s">
        <v>725</v>
      </c>
      <c r="H59" s="2" t="s">
        <v>247</v>
      </c>
      <c r="I59" s="2" t="s">
        <v>726</v>
      </c>
      <c r="J59" s="2" t="s">
        <v>727</v>
      </c>
      <c r="K59" s="2" t="s">
        <v>728</v>
      </c>
      <c r="L59" s="2" t="s">
        <v>580</v>
      </c>
      <c r="M59" s="2" t="s">
        <v>742</v>
      </c>
      <c r="N59" s="2" t="s">
        <v>730</v>
      </c>
      <c r="O59" s="2">
        <v>0.17</v>
      </c>
      <c r="P59" s="2"/>
      <c r="Q59" s="2" t="s">
        <v>732</v>
      </c>
      <c r="R59" s="2">
        <v>0</v>
      </c>
      <c r="S59" s="2"/>
      <c r="T59" s="2"/>
      <c r="U59" s="2"/>
      <c r="V59" s="2" t="s">
        <v>743</v>
      </c>
      <c r="W59" s="2">
        <v>0.20499999999999999</v>
      </c>
      <c r="X59" s="2" t="s">
        <v>107</v>
      </c>
      <c r="Y59" s="2" t="s">
        <v>734</v>
      </c>
      <c r="Z59" s="2" t="s">
        <v>107</v>
      </c>
      <c r="AA59" s="2" t="s">
        <v>107</v>
      </c>
      <c r="AB59" s="2">
        <v>0</v>
      </c>
      <c r="AC59" s="2" t="s">
        <v>715</v>
      </c>
      <c r="AD59" s="2" t="s">
        <v>744</v>
      </c>
      <c r="AE59" s="2" t="s">
        <v>399</v>
      </c>
      <c r="AF59" s="2" t="s">
        <v>251</v>
      </c>
      <c r="AG59" s="2"/>
    </row>
    <row r="60" spans="1:33" ht="28">
      <c r="A60" s="2" t="s">
        <v>745</v>
      </c>
      <c r="B60" s="2" t="s">
        <v>241</v>
      </c>
      <c r="C60" s="2">
        <v>2019</v>
      </c>
      <c r="D60" s="2" t="s">
        <v>243</v>
      </c>
      <c r="E60" s="3" t="b">
        <v>0</v>
      </c>
      <c r="F60" s="2" t="s">
        <v>237</v>
      </c>
      <c r="G60" s="2" t="s">
        <v>725</v>
      </c>
      <c r="H60" s="2" t="s">
        <v>247</v>
      </c>
      <c r="I60" s="2" t="s">
        <v>726</v>
      </c>
      <c r="J60" s="2" t="s">
        <v>727</v>
      </c>
      <c r="K60" s="2" t="s">
        <v>728</v>
      </c>
      <c r="L60" s="2" t="s">
        <v>580</v>
      </c>
      <c r="M60" s="2" t="s">
        <v>746</v>
      </c>
      <c r="N60" s="2" t="s">
        <v>747</v>
      </c>
      <c r="O60" s="2" t="s">
        <v>748</v>
      </c>
      <c r="P60" s="2"/>
      <c r="Q60" s="2"/>
      <c r="R60" s="2"/>
      <c r="S60" s="2"/>
      <c r="T60" s="2"/>
      <c r="U60" s="2"/>
      <c r="V60" s="2"/>
      <c r="W60" s="2"/>
      <c r="X60" s="2" t="s">
        <v>749</v>
      </c>
      <c r="Y60" s="2" t="s">
        <v>107</v>
      </c>
      <c r="Z60" s="2" t="s">
        <v>107</v>
      </c>
      <c r="AA60" s="2" t="s">
        <v>750</v>
      </c>
      <c r="AB60" s="2">
        <v>9</v>
      </c>
      <c r="AC60" s="2" t="s">
        <v>751</v>
      </c>
      <c r="AD60" s="2" t="s">
        <v>752</v>
      </c>
      <c r="AE60" s="2" t="s">
        <v>399</v>
      </c>
      <c r="AF60" s="2" t="s">
        <v>251</v>
      </c>
      <c r="AG60" s="2"/>
    </row>
    <row r="61" spans="1:33" ht="42">
      <c r="A61" s="2" t="s">
        <v>753</v>
      </c>
      <c r="B61" s="2" t="s">
        <v>241</v>
      </c>
      <c r="C61" s="2">
        <v>2019</v>
      </c>
      <c r="D61" s="2" t="s">
        <v>243</v>
      </c>
      <c r="E61" s="3" t="b">
        <v>0</v>
      </c>
      <c r="F61" s="2" t="s">
        <v>237</v>
      </c>
      <c r="G61" s="2" t="s">
        <v>725</v>
      </c>
      <c r="H61" s="2" t="s">
        <v>247</v>
      </c>
      <c r="I61" s="2" t="s">
        <v>726</v>
      </c>
      <c r="J61" s="2" t="s">
        <v>727</v>
      </c>
      <c r="K61" s="2" t="s">
        <v>728</v>
      </c>
      <c r="L61" s="2" t="s">
        <v>410</v>
      </c>
      <c r="M61" s="2" t="s">
        <v>754</v>
      </c>
      <c r="N61" s="2" t="s">
        <v>747</v>
      </c>
      <c r="O61" s="2" t="s">
        <v>755</v>
      </c>
      <c r="P61" s="2"/>
      <c r="Q61" s="2"/>
      <c r="R61" s="2"/>
      <c r="S61" s="2"/>
      <c r="T61" s="2"/>
      <c r="U61" s="2"/>
      <c r="V61" s="2"/>
      <c r="W61" s="2"/>
      <c r="X61" s="2" t="s">
        <v>749</v>
      </c>
      <c r="Y61" s="2" t="s">
        <v>107</v>
      </c>
      <c r="Z61" s="2" t="s">
        <v>107</v>
      </c>
      <c r="AA61" s="2" t="s">
        <v>756</v>
      </c>
      <c r="AB61" s="2">
        <v>9</v>
      </c>
      <c r="AC61" s="2" t="s">
        <v>751</v>
      </c>
      <c r="AD61" s="2" t="s">
        <v>752</v>
      </c>
      <c r="AE61" s="2" t="s">
        <v>399</v>
      </c>
      <c r="AF61" s="2" t="s">
        <v>251</v>
      </c>
      <c r="AG61" s="2"/>
    </row>
    <row r="62" spans="1:33" ht="28">
      <c r="A62" s="2" t="s">
        <v>757</v>
      </c>
      <c r="B62" s="2" t="s">
        <v>241</v>
      </c>
      <c r="C62" s="2">
        <v>2019</v>
      </c>
      <c r="D62" s="2" t="s">
        <v>243</v>
      </c>
      <c r="E62" s="3" t="b">
        <v>0</v>
      </c>
      <c r="F62" s="2" t="s">
        <v>237</v>
      </c>
      <c r="G62" s="2" t="s">
        <v>725</v>
      </c>
      <c r="H62" s="2" t="s">
        <v>247</v>
      </c>
      <c r="I62" s="2" t="s">
        <v>758</v>
      </c>
      <c r="J62" s="2" t="s">
        <v>727</v>
      </c>
      <c r="K62" s="2" t="s">
        <v>759</v>
      </c>
      <c r="L62" s="2" t="s">
        <v>410</v>
      </c>
      <c r="M62" s="2" t="s">
        <v>760</v>
      </c>
      <c r="N62" s="2" t="s">
        <v>761</v>
      </c>
      <c r="O62" s="2"/>
      <c r="P62" s="2"/>
      <c r="Q62" s="2" t="s">
        <v>762</v>
      </c>
      <c r="R62" s="2"/>
      <c r="S62" s="2"/>
      <c r="T62" s="2"/>
      <c r="U62" s="2"/>
      <c r="V62" s="2" t="s">
        <v>763</v>
      </c>
      <c r="W62" s="2">
        <v>4.7E-2</v>
      </c>
      <c r="X62" s="2" t="s">
        <v>395</v>
      </c>
      <c r="Y62" s="2" t="s">
        <v>764</v>
      </c>
      <c r="Z62" s="2" t="s">
        <v>107</v>
      </c>
      <c r="AA62" s="2" t="s">
        <v>107</v>
      </c>
      <c r="AB62" s="2">
        <v>1</v>
      </c>
      <c r="AC62" s="2" t="s">
        <v>397</v>
      </c>
      <c r="AD62" s="2" t="s">
        <v>765</v>
      </c>
      <c r="AE62" s="2" t="s">
        <v>399</v>
      </c>
      <c r="AF62" s="2" t="s">
        <v>251</v>
      </c>
      <c r="AG62" s="2"/>
    </row>
    <row r="63" spans="1:33" ht="28">
      <c r="A63" s="2" t="s">
        <v>766</v>
      </c>
      <c r="B63" s="2" t="s">
        <v>241</v>
      </c>
      <c r="C63" s="2">
        <v>2019</v>
      </c>
      <c r="D63" s="2" t="s">
        <v>243</v>
      </c>
      <c r="E63" s="3" t="b">
        <v>0</v>
      </c>
      <c r="F63" s="2" t="s">
        <v>237</v>
      </c>
      <c r="G63" s="2" t="s">
        <v>725</v>
      </c>
      <c r="H63" s="2" t="s">
        <v>247</v>
      </c>
      <c r="I63" s="2" t="s">
        <v>767</v>
      </c>
      <c r="J63" s="2" t="s">
        <v>727</v>
      </c>
      <c r="K63" s="2" t="s">
        <v>759</v>
      </c>
      <c r="L63" s="2" t="s">
        <v>410</v>
      </c>
      <c r="M63" s="2" t="s">
        <v>760</v>
      </c>
      <c r="N63" s="2" t="s">
        <v>761</v>
      </c>
      <c r="O63" s="2"/>
      <c r="P63" s="2"/>
      <c r="Q63" s="2" t="s">
        <v>762</v>
      </c>
      <c r="R63" s="2"/>
      <c r="S63" s="2"/>
      <c r="T63" s="2"/>
      <c r="U63" s="2"/>
      <c r="V63" s="2" t="s">
        <v>768</v>
      </c>
      <c r="W63" s="2">
        <v>2.7E-2</v>
      </c>
      <c r="X63" s="2" t="s">
        <v>395</v>
      </c>
      <c r="Y63" s="2" t="s">
        <v>764</v>
      </c>
      <c r="Z63" s="2" t="s">
        <v>107</v>
      </c>
      <c r="AA63" s="2" t="s">
        <v>107</v>
      </c>
      <c r="AB63" s="2">
        <v>1</v>
      </c>
      <c r="AC63" s="2" t="s">
        <v>397</v>
      </c>
      <c r="AD63" s="2" t="s">
        <v>765</v>
      </c>
      <c r="AE63" s="2" t="s">
        <v>399</v>
      </c>
      <c r="AF63" s="2" t="s">
        <v>251</v>
      </c>
      <c r="AG63" s="2"/>
    </row>
    <row r="64" spans="1:33" ht="28">
      <c r="A64" s="2" t="s">
        <v>769</v>
      </c>
      <c r="B64" s="2" t="s">
        <v>241</v>
      </c>
      <c r="C64" s="2">
        <v>2019</v>
      </c>
      <c r="D64" s="2" t="s">
        <v>243</v>
      </c>
      <c r="E64" s="3" t="b">
        <v>0</v>
      </c>
      <c r="F64" s="2" t="s">
        <v>237</v>
      </c>
      <c r="G64" s="2" t="s">
        <v>725</v>
      </c>
      <c r="H64" s="2" t="s">
        <v>247</v>
      </c>
      <c r="I64" s="2" t="s">
        <v>770</v>
      </c>
      <c r="J64" s="2" t="s">
        <v>727</v>
      </c>
      <c r="K64" s="2" t="s">
        <v>759</v>
      </c>
      <c r="L64" s="2" t="s">
        <v>410</v>
      </c>
      <c r="M64" s="2" t="s">
        <v>760</v>
      </c>
      <c r="N64" s="2" t="s">
        <v>761</v>
      </c>
      <c r="O64" s="2"/>
      <c r="P64" s="2"/>
      <c r="Q64" s="2" t="s">
        <v>762</v>
      </c>
      <c r="R64" s="2"/>
      <c r="S64" s="2"/>
      <c r="T64" s="2"/>
      <c r="U64" s="2"/>
      <c r="V64" s="2" t="s">
        <v>771</v>
      </c>
      <c r="W64" s="2">
        <v>2.4E-2</v>
      </c>
      <c r="X64" s="2" t="s">
        <v>395</v>
      </c>
      <c r="Y64" s="2" t="s">
        <v>764</v>
      </c>
      <c r="Z64" s="2" t="s">
        <v>107</v>
      </c>
      <c r="AA64" s="2" t="s">
        <v>107</v>
      </c>
      <c r="AB64" s="2">
        <v>1</v>
      </c>
      <c r="AC64" s="2" t="s">
        <v>397</v>
      </c>
      <c r="AD64" s="2" t="s">
        <v>765</v>
      </c>
      <c r="AE64" s="2" t="s">
        <v>399</v>
      </c>
      <c r="AF64" s="2" t="s">
        <v>251</v>
      </c>
      <c r="AG64" s="2"/>
    </row>
    <row r="65" spans="1:33">
      <c r="A65" s="2" t="s">
        <v>772</v>
      </c>
      <c r="B65" s="2" t="s">
        <v>110</v>
      </c>
      <c r="C65" s="2">
        <v>2020</v>
      </c>
      <c r="D65" s="2" t="s">
        <v>112</v>
      </c>
      <c r="E65" s="3" t="b">
        <v>1</v>
      </c>
      <c r="F65" s="2" t="s">
        <v>120</v>
      </c>
      <c r="G65" s="2" t="s">
        <v>260</v>
      </c>
      <c r="H65" s="2" t="s">
        <v>98</v>
      </c>
      <c r="I65" s="2" t="s">
        <v>773</v>
      </c>
      <c r="J65" s="2" t="s">
        <v>116</v>
      </c>
      <c r="K65" s="2" t="s">
        <v>774</v>
      </c>
      <c r="L65" s="2" t="s">
        <v>775</v>
      </c>
      <c r="M65" s="2" t="s">
        <v>776</v>
      </c>
      <c r="N65" s="2" t="s">
        <v>777</v>
      </c>
      <c r="O65" s="2" t="s">
        <v>778</v>
      </c>
      <c r="P65" s="2"/>
      <c r="Q65" s="2" t="s">
        <v>391</v>
      </c>
      <c r="R65" s="2" t="s">
        <v>779</v>
      </c>
      <c r="S65" s="2"/>
      <c r="T65" s="2"/>
      <c r="U65" s="2"/>
      <c r="V65" s="2" t="s">
        <v>780</v>
      </c>
      <c r="W65" s="2">
        <v>2.3E-3</v>
      </c>
      <c r="X65" s="2" t="s">
        <v>395</v>
      </c>
      <c r="Y65" s="2" t="s">
        <v>781</v>
      </c>
      <c r="Z65" s="2" t="s">
        <v>107</v>
      </c>
      <c r="AA65" s="2" t="s">
        <v>107</v>
      </c>
      <c r="AB65" s="2">
        <v>0</v>
      </c>
      <c r="AC65" s="2" t="s">
        <v>715</v>
      </c>
      <c r="AD65" s="2" t="s">
        <v>782</v>
      </c>
      <c r="AE65" s="2" t="s">
        <v>399</v>
      </c>
      <c r="AF65" s="2" t="s">
        <v>118</v>
      </c>
      <c r="AG65" s="2"/>
    </row>
    <row r="66" spans="1:33">
      <c r="A66" s="2" t="s">
        <v>783</v>
      </c>
      <c r="B66" s="2" t="s">
        <v>110</v>
      </c>
      <c r="C66" s="2">
        <v>2020</v>
      </c>
      <c r="D66" s="2" t="s">
        <v>112</v>
      </c>
      <c r="E66" s="3" t="b">
        <v>1</v>
      </c>
      <c r="F66" s="2" t="s">
        <v>120</v>
      </c>
      <c r="G66" s="2" t="s">
        <v>260</v>
      </c>
      <c r="H66" s="2" t="s">
        <v>98</v>
      </c>
      <c r="I66" s="2" t="s">
        <v>773</v>
      </c>
      <c r="J66" s="2" t="s">
        <v>116</v>
      </c>
      <c r="K66" s="2" t="s">
        <v>774</v>
      </c>
      <c r="L66" s="2" t="s">
        <v>443</v>
      </c>
      <c r="M66" s="2" t="s">
        <v>444</v>
      </c>
      <c r="N66" s="2" t="s">
        <v>777</v>
      </c>
      <c r="O66" s="2" t="s">
        <v>784</v>
      </c>
      <c r="P66" s="2"/>
      <c r="Q66" s="2" t="s">
        <v>391</v>
      </c>
      <c r="R66" s="2" t="s">
        <v>785</v>
      </c>
      <c r="S66" s="2"/>
      <c r="T66" s="2"/>
      <c r="U66" s="2"/>
      <c r="V66" s="2" t="s">
        <v>786</v>
      </c>
      <c r="W66" s="2">
        <v>7.2999999999999995E-2</v>
      </c>
      <c r="X66" s="2" t="s">
        <v>107</v>
      </c>
      <c r="Y66" s="2" t="s">
        <v>781</v>
      </c>
      <c r="Z66" s="2" t="s">
        <v>107</v>
      </c>
      <c r="AA66" s="2" t="s">
        <v>107</v>
      </c>
      <c r="AB66" s="2">
        <v>-1</v>
      </c>
      <c r="AC66" s="2" t="s">
        <v>407</v>
      </c>
      <c r="AD66" s="2" t="s">
        <v>787</v>
      </c>
      <c r="AE66" s="2" t="s">
        <v>399</v>
      </c>
      <c r="AF66" s="2" t="s">
        <v>118</v>
      </c>
      <c r="AG66" s="2"/>
    </row>
    <row r="67" spans="1:33">
      <c r="A67" s="2" t="s">
        <v>788</v>
      </c>
      <c r="B67" s="2" t="s">
        <v>110</v>
      </c>
      <c r="C67" s="2">
        <v>2020</v>
      </c>
      <c r="D67" s="2" t="s">
        <v>112</v>
      </c>
      <c r="E67" s="3" t="b">
        <v>1</v>
      </c>
      <c r="F67" s="2" t="s">
        <v>120</v>
      </c>
      <c r="G67" s="2" t="s">
        <v>789</v>
      </c>
      <c r="H67" s="2" t="s">
        <v>98</v>
      </c>
      <c r="I67" s="2" t="s">
        <v>790</v>
      </c>
      <c r="J67" s="2" t="s">
        <v>116</v>
      </c>
      <c r="K67" s="2" t="s">
        <v>774</v>
      </c>
      <c r="L67" s="2" t="s">
        <v>443</v>
      </c>
      <c r="M67" s="2" t="s">
        <v>444</v>
      </c>
      <c r="N67" s="2" t="s">
        <v>791</v>
      </c>
      <c r="O67" s="2" t="s">
        <v>792</v>
      </c>
      <c r="P67" s="2"/>
      <c r="Q67" s="2" t="s">
        <v>391</v>
      </c>
      <c r="R67" s="2" t="s">
        <v>785</v>
      </c>
      <c r="S67" s="2"/>
      <c r="T67" s="2"/>
      <c r="U67" s="2"/>
      <c r="V67" s="2" t="s">
        <v>707</v>
      </c>
      <c r="W67" s="2">
        <v>2E-3</v>
      </c>
      <c r="X67" s="2" t="s">
        <v>395</v>
      </c>
      <c r="Y67" s="2" t="s">
        <v>781</v>
      </c>
      <c r="Z67" s="2" t="s">
        <v>107</v>
      </c>
      <c r="AA67" s="2" t="s">
        <v>107</v>
      </c>
      <c r="AB67" s="2">
        <v>-1</v>
      </c>
      <c r="AC67" s="2" t="s">
        <v>407</v>
      </c>
      <c r="AD67" s="2" t="s">
        <v>793</v>
      </c>
      <c r="AE67" s="2" t="s">
        <v>399</v>
      </c>
      <c r="AF67" s="2" t="s">
        <v>118</v>
      </c>
      <c r="AG67" s="2"/>
    </row>
    <row r="68" spans="1:33">
      <c r="A68" s="2" t="s">
        <v>794</v>
      </c>
      <c r="B68" s="2" t="s">
        <v>110</v>
      </c>
      <c r="C68" s="2">
        <v>2020</v>
      </c>
      <c r="D68" s="2" t="s">
        <v>112</v>
      </c>
      <c r="E68" s="3" t="b">
        <v>1</v>
      </c>
      <c r="F68" s="2" t="s">
        <v>120</v>
      </c>
      <c r="G68" s="2" t="s">
        <v>795</v>
      </c>
      <c r="H68" s="2" t="s">
        <v>98</v>
      </c>
      <c r="I68" s="2" t="s">
        <v>796</v>
      </c>
      <c r="J68" s="2" t="s">
        <v>116</v>
      </c>
      <c r="K68" s="2" t="s">
        <v>774</v>
      </c>
      <c r="L68" s="2" t="s">
        <v>443</v>
      </c>
      <c r="M68" s="2" t="s">
        <v>444</v>
      </c>
      <c r="N68" s="2" t="s">
        <v>797</v>
      </c>
      <c r="O68" s="2"/>
      <c r="P68" s="2"/>
      <c r="Q68" s="2" t="s">
        <v>391</v>
      </c>
      <c r="R68" s="2"/>
      <c r="S68" s="2"/>
      <c r="T68" s="2"/>
      <c r="U68" s="2"/>
      <c r="V68" s="2" t="s">
        <v>798</v>
      </c>
      <c r="W68" s="2">
        <v>0.156</v>
      </c>
      <c r="X68" s="2" t="s">
        <v>107</v>
      </c>
      <c r="Y68" s="2" t="s">
        <v>781</v>
      </c>
      <c r="Z68" s="2" t="s">
        <v>107</v>
      </c>
      <c r="AA68" s="2" t="s">
        <v>107</v>
      </c>
      <c r="AB68" s="2">
        <v>0</v>
      </c>
      <c r="AC68" s="2" t="s">
        <v>715</v>
      </c>
      <c r="AD68" s="2" t="s">
        <v>799</v>
      </c>
      <c r="AE68" s="2" t="s">
        <v>399</v>
      </c>
      <c r="AF68" s="2" t="s">
        <v>118</v>
      </c>
      <c r="AG68" s="2"/>
    </row>
    <row r="69" spans="1:33">
      <c r="A69" s="2" t="s">
        <v>800</v>
      </c>
      <c r="B69" s="2" t="s">
        <v>110</v>
      </c>
      <c r="C69" s="2">
        <v>2020</v>
      </c>
      <c r="D69" s="2" t="s">
        <v>112</v>
      </c>
      <c r="E69" s="3" t="b">
        <v>1</v>
      </c>
      <c r="F69" s="2" t="s">
        <v>120</v>
      </c>
      <c r="G69" s="2" t="s">
        <v>260</v>
      </c>
      <c r="H69" s="2" t="s">
        <v>98</v>
      </c>
      <c r="I69" s="2" t="s">
        <v>773</v>
      </c>
      <c r="J69" s="2" t="s">
        <v>116</v>
      </c>
      <c r="K69" s="2" t="s">
        <v>774</v>
      </c>
      <c r="L69" s="2" t="s">
        <v>443</v>
      </c>
      <c r="M69" s="2" t="s">
        <v>463</v>
      </c>
      <c r="N69" s="2" t="s">
        <v>777</v>
      </c>
      <c r="O69" s="2">
        <v>1226</v>
      </c>
      <c r="P69" s="2"/>
      <c r="Q69" s="2" t="s">
        <v>391</v>
      </c>
      <c r="R69" s="2" t="s">
        <v>801</v>
      </c>
      <c r="S69" s="2"/>
      <c r="T69" s="2"/>
      <c r="U69" s="2"/>
      <c r="V69" s="2" t="s">
        <v>802</v>
      </c>
      <c r="W69" s="2">
        <v>5.2999999999999999E-2</v>
      </c>
      <c r="X69" s="2" t="s">
        <v>107</v>
      </c>
      <c r="Y69" s="2" t="s">
        <v>781</v>
      </c>
      <c r="Z69" s="2" t="s">
        <v>107</v>
      </c>
      <c r="AA69" s="2" t="s">
        <v>107</v>
      </c>
      <c r="AB69" s="2">
        <v>-1</v>
      </c>
      <c r="AC69" s="2" t="s">
        <v>407</v>
      </c>
      <c r="AD69" s="2" t="s">
        <v>803</v>
      </c>
      <c r="AE69" s="2" t="s">
        <v>399</v>
      </c>
      <c r="AF69" s="2" t="s">
        <v>118</v>
      </c>
      <c r="AG69" s="2"/>
    </row>
    <row r="70" spans="1:33">
      <c r="A70" s="2" t="s">
        <v>804</v>
      </c>
      <c r="B70" s="2" t="s">
        <v>110</v>
      </c>
      <c r="C70" s="2">
        <v>2020</v>
      </c>
      <c r="D70" s="2" t="s">
        <v>112</v>
      </c>
      <c r="E70" s="3" t="b">
        <v>1</v>
      </c>
      <c r="F70" s="2" t="s">
        <v>120</v>
      </c>
      <c r="G70" s="2" t="s">
        <v>789</v>
      </c>
      <c r="H70" s="2" t="s">
        <v>98</v>
      </c>
      <c r="I70" s="2" t="s">
        <v>790</v>
      </c>
      <c r="J70" s="2" t="s">
        <v>116</v>
      </c>
      <c r="K70" s="2" t="s">
        <v>774</v>
      </c>
      <c r="L70" s="2" t="s">
        <v>443</v>
      </c>
      <c r="M70" s="2" t="s">
        <v>463</v>
      </c>
      <c r="N70" s="2" t="s">
        <v>791</v>
      </c>
      <c r="O70" s="2">
        <v>945</v>
      </c>
      <c r="P70" s="2"/>
      <c r="Q70" s="2" t="s">
        <v>391</v>
      </c>
      <c r="R70" s="2" t="s">
        <v>801</v>
      </c>
      <c r="S70" s="2"/>
      <c r="T70" s="2"/>
      <c r="U70" s="2"/>
      <c r="V70" s="2" t="s">
        <v>805</v>
      </c>
      <c r="W70" s="2">
        <v>2.5999999999999999E-2</v>
      </c>
      <c r="X70" s="2" t="s">
        <v>395</v>
      </c>
      <c r="Y70" s="2" t="s">
        <v>781</v>
      </c>
      <c r="Z70" s="2" t="s">
        <v>107</v>
      </c>
      <c r="AA70" s="2" t="s">
        <v>107</v>
      </c>
      <c r="AB70" s="2">
        <v>-1</v>
      </c>
      <c r="AC70" s="2" t="s">
        <v>407</v>
      </c>
      <c r="AD70" s="2" t="s">
        <v>806</v>
      </c>
      <c r="AE70" s="2" t="s">
        <v>399</v>
      </c>
      <c r="AF70" s="2" t="s">
        <v>118</v>
      </c>
      <c r="AG70" s="2"/>
    </row>
    <row r="71" spans="1:33">
      <c r="A71" s="2" t="s">
        <v>807</v>
      </c>
      <c r="B71" s="2" t="s">
        <v>110</v>
      </c>
      <c r="C71" s="2">
        <v>2020</v>
      </c>
      <c r="D71" s="2" t="s">
        <v>112</v>
      </c>
      <c r="E71" s="3" t="b">
        <v>1</v>
      </c>
      <c r="F71" s="2" t="s">
        <v>120</v>
      </c>
      <c r="G71" s="2" t="s">
        <v>795</v>
      </c>
      <c r="H71" s="2" t="s">
        <v>98</v>
      </c>
      <c r="I71" s="2" t="s">
        <v>796</v>
      </c>
      <c r="J71" s="2" t="s">
        <v>116</v>
      </c>
      <c r="K71" s="2" t="s">
        <v>774</v>
      </c>
      <c r="L71" s="2" t="s">
        <v>443</v>
      </c>
      <c r="M71" s="2" t="s">
        <v>463</v>
      </c>
      <c r="N71" s="2" t="s">
        <v>797</v>
      </c>
      <c r="O71" s="2"/>
      <c r="P71" s="2"/>
      <c r="Q71" s="2" t="s">
        <v>391</v>
      </c>
      <c r="R71" s="2"/>
      <c r="S71" s="2"/>
      <c r="T71" s="2"/>
      <c r="U71" s="2"/>
      <c r="V71" s="2" t="s">
        <v>808</v>
      </c>
      <c r="W71" s="2">
        <v>0.77900000000000003</v>
      </c>
      <c r="X71" s="2" t="s">
        <v>107</v>
      </c>
      <c r="Y71" s="2" t="s">
        <v>781</v>
      </c>
      <c r="Z71" s="2" t="s">
        <v>107</v>
      </c>
      <c r="AA71" s="2" t="s">
        <v>107</v>
      </c>
      <c r="AB71" s="2">
        <v>0</v>
      </c>
      <c r="AC71" s="2" t="s">
        <v>715</v>
      </c>
      <c r="AD71" s="2" t="s">
        <v>799</v>
      </c>
      <c r="AE71" s="2" t="s">
        <v>399</v>
      </c>
      <c r="AF71" s="2" t="s">
        <v>118</v>
      </c>
      <c r="AG71" s="2"/>
    </row>
    <row r="72" spans="1:33" ht="28">
      <c r="A72" s="2" t="s">
        <v>809</v>
      </c>
      <c r="B72" s="2" t="s">
        <v>110</v>
      </c>
      <c r="C72" s="2">
        <v>2020</v>
      </c>
      <c r="D72" s="2" t="s">
        <v>112</v>
      </c>
      <c r="E72" s="3" t="b">
        <v>1</v>
      </c>
      <c r="F72" s="2" t="s">
        <v>120</v>
      </c>
      <c r="G72" s="2" t="s">
        <v>260</v>
      </c>
      <c r="H72" s="2" t="s">
        <v>98</v>
      </c>
      <c r="I72" s="2" t="s">
        <v>773</v>
      </c>
      <c r="J72" s="2" t="s">
        <v>116</v>
      </c>
      <c r="K72" s="2" t="s">
        <v>774</v>
      </c>
      <c r="L72" s="2" t="s">
        <v>386</v>
      </c>
      <c r="M72" s="2" t="s">
        <v>810</v>
      </c>
      <c r="N72" s="2" t="s">
        <v>777</v>
      </c>
      <c r="O72" s="2" t="s">
        <v>811</v>
      </c>
      <c r="P72" s="2"/>
      <c r="Q72" s="2" t="s">
        <v>391</v>
      </c>
      <c r="R72" s="2" t="s">
        <v>779</v>
      </c>
      <c r="S72" s="2"/>
      <c r="T72" s="2"/>
      <c r="U72" s="2"/>
      <c r="V72" s="2" t="s">
        <v>394</v>
      </c>
      <c r="W72" s="2">
        <v>1E-3</v>
      </c>
      <c r="X72" s="2" t="s">
        <v>395</v>
      </c>
      <c r="Y72" s="2" t="s">
        <v>812</v>
      </c>
      <c r="Z72" s="2" t="s">
        <v>107</v>
      </c>
      <c r="AA72" s="2" t="s">
        <v>107</v>
      </c>
      <c r="AB72" s="2">
        <v>1</v>
      </c>
      <c r="AC72" s="2" t="s">
        <v>397</v>
      </c>
      <c r="AD72" s="2" t="s">
        <v>813</v>
      </c>
      <c r="AE72" s="2" t="s">
        <v>399</v>
      </c>
      <c r="AF72" s="2" t="s">
        <v>118</v>
      </c>
      <c r="AG72" s="2"/>
    </row>
    <row r="73" spans="1:33">
      <c r="A73" s="2" t="s">
        <v>814</v>
      </c>
      <c r="B73" s="2" t="s">
        <v>110</v>
      </c>
      <c r="C73" s="2">
        <v>2020</v>
      </c>
      <c r="D73" s="2" t="s">
        <v>112</v>
      </c>
      <c r="E73" s="3" t="b">
        <v>1</v>
      </c>
      <c r="F73" s="2" t="s">
        <v>120</v>
      </c>
      <c r="G73" s="2" t="s">
        <v>795</v>
      </c>
      <c r="H73" s="2" t="s">
        <v>98</v>
      </c>
      <c r="I73" s="2" t="s">
        <v>815</v>
      </c>
      <c r="J73" s="2" t="s">
        <v>116</v>
      </c>
      <c r="K73" s="2" t="s">
        <v>774</v>
      </c>
      <c r="L73" s="2" t="s">
        <v>386</v>
      </c>
      <c r="M73" s="2" t="s">
        <v>810</v>
      </c>
      <c r="N73" s="2" t="s">
        <v>777</v>
      </c>
      <c r="O73" s="2" t="s">
        <v>816</v>
      </c>
      <c r="P73" s="2"/>
      <c r="Q73" s="2" t="s">
        <v>797</v>
      </c>
      <c r="R73" s="2" t="s">
        <v>779</v>
      </c>
      <c r="S73" s="2"/>
      <c r="T73" s="2"/>
      <c r="U73" s="2"/>
      <c r="V73" s="2" t="s">
        <v>763</v>
      </c>
      <c r="W73" s="2">
        <v>4.7E-2</v>
      </c>
      <c r="X73" s="2" t="s">
        <v>395</v>
      </c>
      <c r="Y73" s="2" t="s">
        <v>812</v>
      </c>
      <c r="Z73" s="2" t="s">
        <v>107</v>
      </c>
      <c r="AA73" s="2" t="s">
        <v>107</v>
      </c>
      <c r="AB73" s="2">
        <v>-1</v>
      </c>
      <c r="AC73" s="2" t="s">
        <v>407</v>
      </c>
      <c r="AD73" s="2" t="s">
        <v>817</v>
      </c>
      <c r="AE73" s="2" t="s">
        <v>399</v>
      </c>
      <c r="AF73" s="2" t="s">
        <v>118</v>
      </c>
      <c r="AG73" s="2"/>
    </row>
    <row r="74" spans="1:33">
      <c r="A74" s="2" t="s">
        <v>818</v>
      </c>
      <c r="B74" s="2" t="s">
        <v>110</v>
      </c>
      <c r="C74" s="2">
        <v>2020</v>
      </c>
      <c r="D74" s="2" t="s">
        <v>112</v>
      </c>
      <c r="E74" s="3" t="b">
        <v>1</v>
      </c>
      <c r="F74" s="2" t="s">
        <v>120</v>
      </c>
      <c r="G74" s="2" t="s">
        <v>260</v>
      </c>
      <c r="H74" s="2" t="s">
        <v>98</v>
      </c>
      <c r="I74" s="2" t="s">
        <v>773</v>
      </c>
      <c r="J74" s="2" t="s">
        <v>116</v>
      </c>
      <c r="K74" s="2" t="s">
        <v>774</v>
      </c>
      <c r="L74" s="2" t="s">
        <v>386</v>
      </c>
      <c r="M74" s="2" t="s">
        <v>819</v>
      </c>
      <c r="N74" s="2" t="s">
        <v>777</v>
      </c>
      <c r="O74" s="2" t="s">
        <v>779</v>
      </c>
      <c r="P74" s="2"/>
      <c r="Q74" s="2" t="s">
        <v>391</v>
      </c>
      <c r="R74" s="2" t="s">
        <v>816</v>
      </c>
      <c r="S74" s="2"/>
      <c r="T74" s="2"/>
      <c r="U74" s="2"/>
      <c r="V74" s="2" t="s">
        <v>820</v>
      </c>
      <c r="W74" s="2">
        <v>1.7000000000000001E-2</v>
      </c>
      <c r="X74" s="2" t="s">
        <v>395</v>
      </c>
      <c r="Y74" s="2" t="s">
        <v>812</v>
      </c>
      <c r="Z74" s="2" t="s">
        <v>107</v>
      </c>
      <c r="AA74" s="2" t="s">
        <v>107</v>
      </c>
      <c r="AB74" s="2">
        <v>-1</v>
      </c>
      <c r="AC74" s="2" t="s">
        <v>407</v>
      </c>
      <c r="AD74" s="2" t="s">
        <v>821</v>
      </c>
      <c r="AE74" s="2" t="s">
        <v>399</v>
      </c>
      <c r="AF74" s="2" t="s">
        <v>118</v>
      </c>
      <c r="AG74" s="2"/>
    </row>
    <row r="75" spans="1:33">
      <c r="A75" s="2" t="s">
        <v>822</v>
      </c>
      <c r="B75" s="2" t="s">
        <v>110</v>
      </c>
      <c r="C75" s="2">
        <v>2020</v>
      </c>
      <c r="D75" s="2" t="s">
        <v>112</v>
      </c>
      <c r="E75" s="3" t="b">
        <v>1</v>
      </c>
      <c r="F75" s="2" t="s">
        <v>120</v>
      </c>
      <c r="G75" s="2" t="s">
        <v>795</v>
      </c>
      <c r="H75" s="2" t="s">
        <v>98</v>
      </c>
      <c r="I75" s="2" t="s">
        <v>815</v>
      </c>
      <c r="J75" s="2" t="s">
        <v>116</v>
      </c>
      <c r="K75" s="2" t="s">
        <v>774</v>
      </c>
      <c r="L75" s="2" t="s">
        <v>386</v>
      </c>
      <c r="M75" s="2" t="s">
        <v>819</v>
      </c>
      <c r="N75" s="2" t="s">
        <v>777</v>
      </c>
      <c r="O75" s="2" t="s">
        <v>779</v>
      </c>
      <c r="P75" s="2"/>
      <c r="Q75" s="2" t="s">
        <v>797</v>
      </c>
      <c r="R75" s="2" t="s">
        <v>816</v>
      </c>
      <c r="S75" s="2"/>
      <c r="T75" s="2"/>
      <c r="U75" s="2"/>
      <c r="V75" s="2" t="s">
        <v>763</v>
      </c>
      <c r="W75" s="2">
        <v>4.7E-2</v>
      </c>
      <c r="X75" s="2" t="s">
        <v>395</v>
      </c>
      <c r="Y75" s="2" t="s">
        <v>812</v>
      </c>
      <c r="Z75" s="2" t="s">
        <v>107</v>
      </c>
      <c r="AA75" s="2" t="s">
        <v>107</v>
      </c>
      <c r="AB75" s="2">
        <v>1</v>
      </c>
      <c r="AC75" s="2" t="s">
        <v>397</v>
      </c>
      <c r="AD75" s="2" t="s">
        <v>823</v>
      </c>
      <c r="AE75" s="2" t="s">
        <v>399</v>
      </c>
      <c r="AF75" s="2" t="s">
        <v>118</v>
      </c>
      <c r="AG75" s="2"/>
    </row>
    <row r="76" spans="1:33">
      <c r="A76" s="2" t="s">
        <v>824</v>
      </c>
      <c r="B76" s="2" t="s">
        <v>110</v>
      </c>
      <c r="C76" s="2">
        <v>2020</v>
      </c>
      <c r="D76" s="2" t="s">
        <v>112</v>
      </c>
      <c r="E76" s="3" t="b">
        <v>1</v>
      </c>
      <c r="F76" s="2" t="s">
        <v>120</v>
      </c>
      <c r="G76" s="2" t="s">
        <v>260</v>
      </c>
      <c r="H76" s="2" t="s">
        <v>98</v>
      </c>
      <c r="I76" s="2" t="s">
        <v>773</v>
      </c>
      <c r="J76" s="2" t="s">
        <v>116</v>
      </c>
      <c r="K76" s="2" t="s">
        <v>774</v>
      </c>
      <c r="L76" s="2" t="s">
        <v>386</v>
      </c>
      <c r="M76" s="2" t="s">
        <v>825</v>
      </c>
      <c r="N76" s="2" t="s">
        <v>777</v>
      </c>
      <c r="O76" s="2" t="s">
        <v>779</v>
      </c>
      <c r="P76" s="2"/>
      <c r="Q76" s="2" t="s">
        <v>391</v>
      </c>
      <c r="R76" s="2" t="s">
        <v>816</v>
      </c>
      <c r="S76" s="2"/>
      <c r="T76" s="2"/>
      <c r="U76" s="2"/>
      <c r="V76" s="2" t="s">
        <v>820</v>
      </c>
      <c r="W76" s="2">
        <v>1.7000000000000001E-2</v>
      </c>
      <c r="X76" s="2" t="s">
        <v>395</v>
      </c>
      <c r="Y76" s="2" t="s">
        <v>812</v>
      </c>
      <c r="Z76" s="2" t="s">
        <v>107</v>
      </c>
      <c r="AA76" s="2" t="s">
        <v>107</v>
      </c>
      <c r="AB76" s="2">
        <v>-1</v>
      </c>
      <c r="AC76" s="2" t="s">
        <v>407</v>
      </c>
      <c r="AD76" s="2" t="s">
        <v>826</v>
      </c>
      <c r="AE76" s="2" t="s">
        <v>399</v>
      </c>
      <c r="AF76" s="2" t="s">
        <v>118</v>
      </c>
      <c r="AG76" s="2"/>
    </row>
    <row r="77" spans="1:33">
      <c r="A77" s="2" t="s">
        <v>827</v>
      </c>
      <c r="B77" s="2" t="s">
        <v>110</v>
      </c>
      <c r="C77" s="2">
        <v>2020</v>
      </c>
      <c r="D77" s="2" t="s">
        <v>112</v>
      </c>
      <c r="E77" s="3" t="b">
        <v>1</v>
      </c>
      <c r="F77" s="2" t="s">
        <v>120</v>
      </c>
      <c r="G77" s="2" t="s">
        <v>260</v>
      </c>
      <c r="H77" s="2" t="s">
        <v>98</v>
      </c>
      <c r="I77" s="2" t="s">
        <v>773</v>
      </c>
      <c r="J77" s="2" t="s">
        <v>116</v>
      </c>
      <c r="K77" s="2" t="s">
        <v>774</v>
      </c>
      <c r="L77" s="2" t="s">
        <v>386</v>
      </c>
      <c r="M77" s="2" t="s">
        <v>828</v>
      </c>
      <c r="N77" s="2" t="s">
        <v>777</v>
      </c>
      <c r="O77" s="2" t="s">
        <v>829</v>
      </c>
      <c r="P77" s="2"/>
      <c r="Q77" s="2" t="s">
        <v>391</v>
      </c>
      <c r="R77" s="2"/>
      <c r="S77" s="2"/>
      <c r="T77" s="2"/>
      <c r="U77" s="2"/>
      <c r="V77" s="2" t="s">
        <v>830</v>
      </c>
      <c r="W77" s="2">
        <v>4.9000000000000002E-2</v>
      </c>
      <c r="X77" s="2" t="s">
        <v>395</v>
      </c>
      <c r="Y77" s="2" t="s">
        <v>831</v>
      </c>
      <c r="Z77" s="2" t="s">
        <v>107</v>
      </c>
      <c r="AA77" s="2" t="s">
        <v>107</v>
      </c>
      <c r="AB77" s="2">
        <v>-1</v>
      </c>
      <c r="AC77" s="2" t="s">
        <v>407</v>
      </c>
      <c r="AD77" s="2" t="s">
        <v>832</v>
      </c>
      <c r="AE77" s="2" t="s">
        <v>833</v>
      </c>
      <c r="AF77" s="2" t="s">
        <v>118</v>
      </c>
      <c r="AG77" s="2"/>
    </row>
    <row r="78" spans="1:33" ht="56">
      <c r="A78" s="2" t="s">
        <v>834</v>
      </c>
      <c r="B78" s="2" t="s">
        <v>110</v>
      </c>
      <c r="C78" s="2">
        <v>2020</v>
      </c>
      <c r="D78" s="2" t="s">
        <v>112</v>
      </c>
      <c r="E78" s="3" t="b">
        <v>1</v>
      </c>
      <c r="F78" s="2" t="s">
        <v>120</v>
      </c>
      <c r="G78" s="2" t="s">
        <v>795</v>
      </c>
      <c r="H78" s="2" t="s">
        <v>98</v>
      </c>
      <c r="I78" s="2" t="s">
        <v>796</v>
      </c>
      <c r="J78" s="2" t="s">
        <v>116</v>
      </c>
      <c r="K78" s="2" t="s">
        <v>774</v>
      </c>
      <c r="L78" s="2" t="s">
        <v>386</v>
      </c>
      <c r="M78" s="2" t="s">
        <v>835</v>
      </c>
      <c r="N78" s="2" t="s">
        <v>797</v>
      </c>
      <c r="O78" s="2" t="s">
        <v>836</v>
      </c>
      <c r="P78" s="2"/>
      <c r="Q78" s="2" t="s">
        <v>391</v>
      </c>
      <c r="R78" s="2"/>
      <c r="S78" s="2"/>
      <c r="T78" s="2" t="s">
        <v>837</v>
      </c>
      <c r="U78" s="2"/>
      <c r="V78" s="2"/>
      <c r="W78" s="2"/>
      <c r="X78" s="2" t="s">
        <v>749</v>
      </c>
      <c r="Y78" s="2" t="s">
        <v>831</v>
      </c>
      <c r="Z78" s="2" t="s">
        <v>107</v>
      </c>
      <c r="AA78" s="2" t="s">
        <v>107</v>
      </c>
      <c r="AB78" s="2">
        <v>9</v>
      </c>
      <c r="AC78" s="2" t="s">
        <v>751</v>
      </c>
      <c r="AD78" s="2" t="s">
        <v>838</v>
      </c>
      <c r="AE78" s="2" t="s">
        <v>833</v>
      </c>
      <c r="AF78" s="2" t="s">
        <v>118</v>
      </c>
      <c r="AG78" s="2"/>
    </row>
    <row r="79" spans="1:33" ht="42">
      <c r="A79" s="2" t="s">
        <v>839</v>
      </c>
      <c r="B79" s="2" t="s">
        <v>92</v>
      </c>
      <c r="C79" s="2">
        <v>2020</v>
      </c>
      <c r="D79" s="2" t="s">
        <v>94</v>
      </c>
      <c r="E79" s="3" t="b">
        <v>1</v>
      </c>
      <c r="F79" s="2" t="s">
        <v>103</v>
      </c>
      <c r="G79" s="2" t="s">
        <v>100</v>
      </c>
      <c r="H79" s="2" t="s">
        <v>98</v>
      </c>
      <c r="I79" s="2" t="s">
        <v>840</v>
      </c>
      <c r="J79" s="2" t="s">
        <v>841</v>
      </c>
      <c r="K79" s="2" t="s">
        <v>842</v>
      </c>
      <c r="L79" s="2" t="s">
        <v>410</v>
      </c>
      <c r="M79" s="2" t="s">
        <v>843</v>
      </c>
      <c r="N79" s="2" t="s">
        <v>844</v>
      </c>
      <c r="O79" s="2" t="s">
        <v>845</v>
      </c>
      <c r="P79" s="2"/>
      <c r="Q79" s="2" t="s">
        <v>846</v>
      </c>
      <c r="R79" s="2" t="s">
        <v>847</v>
      </c>
      <c r="S79" s="2"/>
      <c r="T79" s="2" t="s">
        <v>848</v>
      </c>
      <c r="U79" s="2"/>
      <c r="V79" s="2" t="s">
        <v>849</v>
      </c>
      <c r="W79" s="2">
        <v>1.6E-2</v>
      </c>
      <c r="X79" s="2" t="s">
        <v>395</v>
      </c>
      <c r="Y79" s="2" t="s">
        <v>850</v>
      </c>
      <c r="Z79" s="2" t="s">
        <v>107</v>
      </c>
      <c r="AA79" s="2" t="s">
        <v>851</v>
      </c>
      <c r="AB79" s="2">
        <v>9</v>
      </c>
      <c r="AC79" s="2" t="s">
        <v>751</v>
      </c>
      <c r="AD79" s="2" t="s">
        <v>852</v>
      </c>
      <c r="AE79" s="2" t="s">
        <v>399</v>
      </c>
      <c r="AF79" s="2" t="s">
        <v>101</v>
      </c>
      <c r="AG79" s="2"/>
    </row>
    <row r="80" spans="1:33" ht="28">
      <c r="A80" s="2" t="s">
        <v>853</v>
      </c>
      <c r="B80" s="2" t="s">
        <v>92</v>
      </c>
      <c r="C80" s="2">
        <v>2020</v>
      </c>
      <c r="D80" s="2" t="s">
        <v>94</v>
      </c>
      <c r="E80" s="3" t="b">
        <v>1</v>
      </c>
      <c r="F80" s="2" t="s">
        <v>103</v>
      </c>
      <c r="G80" s="2" t="s">
        <v>100</v>
      </c>
      <c r="H80" s="2" t="s">
        <v>98</v>
      </c>
      <c r="I80" s="2" t="s">
        <v>854</v>
      </c>
      <c r="J80" s="2" t="s">
        <v>841</v>
      </c>
      <c r="K80" s="2" t="s">
        <v>855</v>
      </c>
      <c r="L80" s="2" t="s">
        <v>691</v>
      </c>
      <c r="M80" s="2" t="s">
        <v>856</v>
      </c>
      <c r="N80" s="2" t="s">
        <v>844</v>
      </c>
      <c r="O80" s="2" t="s">
        <v>857</v>
      </c>
      <c r="P80" s="2" t="s">
        <v>858</v>
      </c>
      <c r="Q80" s="2" t="s">
        <v>846</v>
      </c>
      <c r="R80" s="2" t="s">
        <v>859</v>
      </c>
      <c r="S80" s="2"/>
      <c r="T80" s="2" t="s">
        <v>860</v>
      </c>
      <c r="U80" s="2"/>
      <c r="V80" s="2" t="s">
        <v>861</v>
      </c>
      <c r="W80" s="2">
        <v>4.0000000000000001E-3</v>
      </c>
      <c r="X80" s="2" t="s">
        <v>395</v>
      </c>
      <c r="Y80" s="2" t="s">
        <v>862</v>
      </c>
      <c r="Z80" s="2" t="s">
        <v>863</v>
      </c>
      <c r="AA80" s="2" t="s">
        <v>287</v>
      </c>
      <c r="AB80" s="2">
        <v>0</v>
      </c>
      <c r="AC80" s="2" t="s">
        <v>715</v>
      </c>
      <c r="AD80" s="2" t="s">
        <v>864</v>
      </c>
      <c r="AE80" s="2" t="s">
        <v>399</v>
      </c>
      <c r="AF80" s="2" t="s">
        <v>101</v>
      </c>
      <c r="AG80" s="2"/>
    </row>
    <row r="81" spans="1:33" ht="28">
      <c r="A81" s="2" t="s">
        <v>865</v>
      </c>
      <c r="B81" s="2" t="s">
        <v>92</v>
      </c>
      <c r="C81" s="2">
        <v>2020</v>
      </c>
      <c r="D81" s="2" t="s">
        <v>94</v>
      </c>
      <c r="E81" s="3" t="b">
        <v>1</v>
      </c>
      <c r="F81" s="2" t="s">
        <v>103</v>
      </c>
      <c r="G81" s="2" t="s">
        <v>100</v>
      </c>
      <c r="H81" s="2" t="s">
        <v>98</v>
      </c>
      <c r="I81" s="2" t="s">
        <v>854</v>
      </c>
      <c r="J81" s="2" t="s">
        <v>841</v>
      </c>
      <c r="K81" s="2" t="s">
        <v>866</v>
      </c>
      <c r="L81" s="2" t="s">
        <v>691</v>
      </c>
      <c r="M81" s="2" t="s">
        <v>867</v>
      </c>
      <c r="N81" s="2" t="s">
        <v>868</v>
      </c>
      <c r="O81" s="2">
        <v>165</v>
      </c>
      <c r="P81" s="2" t="s">
        <v>869</v>
      </c>
      <c r="Q81" s="2" t="s">
        <v>870</v>
      </c>
      <c r="R81" s="2" t="s">
        <v>871</v>
      </c>
      <c r="S81" s="2"/>
      <c r="T81" s="2"/>
      <c r="U81" s="2"/>
      <c r="V81" s="2" t="s">
        <v>872</v>
      </c>
      <c r="W81" s="2">
        <v>5.0999999999999997E-2</v>
      </c>
      <c r="X81" s="2" t="s">
        <v>107</v>
      </c>
      <c r="Y81" s="2" t="s">
        <v>862</v>
      </c>
      <c r="Z81" s="2" t="s">
        <v>395</v>
      </c>
      <c r="AA81" s="2" t="s">
        <v>287</v>
      </c>
      <c r="AB81" s="2">
        <v>0</v>
      </c>
      <c r="AC81" s="2" t="s">
        <v>715</v>
      </c>
      <c r="AD81" s="2" t="s">
        <v>873</v>
      </c>
      <c r="AE81" s="2" t="s">
        <v>399</v>
      </c>
      <c r="AF81" s="2" t="s">
        <v>101</v>
      </c>
      <c r="AG81" s="2"/>
    </row>
    <row r="82" spans="1:33" ht="28">
      <c r="A82" s="2" t="s">
        <v>874</v>
      </c>
      <c r="B82" s="2" t="s">
        <v>92</v>
      </c>
      <c r="C82" s="2">
        <v>2020</v>
      </c>
      <c r="D82" s="2" t="s">
        <v>94</v>
      </c>
      <c r="E82" s="3" t="b">
        <v>1</v>
      </c>
      <c r="F82" s="2" t="s">
        <v>103</v>
      </c>
      <c r="G82" s="2" t="s">
        <v>100</v>
      </c>
      <c r="H82" s="2" t="s">
        <v>98</v>
      </c>
      <c r="I82" s="2" t="s">
        <v>854</v>
      </c>
      <c r="J82" s="2" t="s">
        <v>841</v>
      </c>
      <c r="K82" s="2" t="s">
        <v>875</v>
      </c>
      <c r="L82" s="2" t="s">
        <v>691</v>
      </c>
      <c r="M82" s="2" t="s">
        <v>876</v>
      </c>
      <c r="N82" s="2" t="s">
        <v>868</v>
      </c>
      <c r="O82" s="2">
        <v>65</v>
      </c>
      <c r="P82" s="2" t="s">
        <v>877</v>
      </c>
      <c r="Q82" s="2" t="s">
        <v>870</v>
      </c>
      <c r="R82" s="2" t="s">
        <v>878</v>
      </c>
      <c r="S82" s="2"/>
      <c r="T82" s="2"/>
      <c r="U82" s="2"/>
      <c r="V82" s="2" t="s">
        <v>872</v>
      </c>
      <c r="W82" s="2">
        <v>5.0999999999999997E-2</v>
      </c>
      <c r="X82" s="2" t="s">
        <v>107</v>
      </c>
      <c r="Y82" s="2" t="s">
        <v>862</v>
      </c>
      <c r="Z82" s="2" t="s">
        <v>395</v>
      </c>
      <c r="AA82" s="2" t="s">
        <v>287</v>
      </c>
      <c r="AB82" s="2">
        <v>0</v>
      </c>
      <c r="AC82" s="2" t="s">
        <v>715</v>
      </c>
      <c r="AD82" s="2" t="s">
        <v>879</v>
      </c>
      <c r="AE82" s="2" t="s">
        <v>399</v>
      </c>
      <c r="AF82" s="2" t="s">
        <v>101</v>
      </c>
      <c r="AG82" s="2"/>
    </row>
    <row r="83" spans="1:33" ht="28">
      <c r="A83" s="2" t="s">
        <v>880</v>
      </c>
      <c r="B83" s="2" t="s">
        <v>92</v>
      </c>
      <c r="C83" s="2">
        <v>2020</v>
      </c>
      <c r="D83" s="2" t="s">
        <v>94</v>
      </c>
      <c r="E83" s="3" t="b">
        <v>1</v>
      </c>
      <c r="F83" s="2" t="s">
        <v>103</v>
      </c>
      <c r="G83" s="2" t="s">
        <v>100</v>
      </c>
      <c r="H83" s="2" t="s">
        <v>98</v>
      </c>
      <c r="I83" s="2" t="s">
        <v>881</v>
      </c>
      <c r="J83" s="2" t="s">
        <v>841</v>
      </c>
      <c r="K83" s="2" t="s">
        <v>882</v>
      </c>
      <c r="L83" s="2" t="s">
        <v>691</v>
      </c>
      <c r="M83" s="2" t="s">
        <v>883</v>
      </c>
      <c r="N83" s="2" t="s">
        <v>884</v>
      </c>
      <c r="O83" s="2"/>
      <c r="P83" s="2"/>
      <c r="Q83" s="2"/>
      <c r="R83" s="2" t="s">
        <v>885</v>
      </c>
      <c r="S83" s="2"/>
      <c r="T83" s="2"/>
      <c r="U83" s="2"/>
      <c r="V83" s="2" t="s">
        <v>886</v>
      </c>
      <c r="W83" s="2">
        <v>1.2E-2</v>
      </c>
      <c r="X83" s="2" t="s">
        <v>395</v>
      </c>
      <c r="Y83" s="2" t="s">
        <v>862</v>
      </c>
      <c r="Z83" s="2" t="s">
        <v>107</v>
      </c>
      <c r="AA83" s="2" t="s">
        <v>287</v>
      </c>
      <c r="AB83" s="2">
        <v>9</v>
      </c>
      <c r="AC83" s="2" t="s">
        <v>751</v>
      </c>
      <c r="AD83" s="2" t="s">
        <v>887</v>
      </c>
      <c r="AE83" s="2" t="s">
        <v>399</v>
      </c>
      <c r="AF83" s="2" t="s">
        <v>101</v>
      </c>
      <c r="AG83" s="2"/>
    </row>
    <row r="84" spans="1:33" ht="28">
      <c r="A84" s="2" t="s">
        <v>888</v>
      </c>
      <c r="B84" s="2" t="s">
        <v>193</v>
      </c>
      <c r="C84" s="2">
        <v>2021</v>
      </c>
      <c r="D84" s="2" t="s">
        <v>94</v>
      </c>
      <c r="E84" s="3" t="b">
        <v>1</v>
      </c>
      <c r="F84" s="2" t="s">
        <v>103</v>
      </c>
      <c r="G84" s="2" t="s">
        <v>889</v>
      </c>
      <c r="H84" s="2" t="s">
        <v>98</v>
      </c>
      <c r="I84" s="2" t="s">
        <v>890</v>
      </c>
      <c r="J84" s="2" t="s">
        <v>891</v>
      </c>
      <c r="K84" s="2" t="s">
        <v>892</v>
      </c>
      <c r="L84" s="2" t="s">
        <v>386</v>
      </c>
      <c r="M84" s="2" t="s">
        <v>893</v>
      </c>
      <c r="N84" s="2" t="s">
        <v>894</v>
      </c>
      <c r="O84" s="2" t="s">
        <v>816</v>
      </c>
      <c r="P84" s="2"/>
      <c r="Q84" s="2" t="s">
        <v>895</v>
      </c>
      <c r="R84" s="2" t="s">
        <v>896</v>
      </c>
      <c r="S84" s="2"/>
      <c r="T84" s="2"/>
      <c r="U84" s="2"/>
      <c r="V84" s="2" t="s">
        <v>830</v>
      </c>
      <c r="W84" s="2">
        <v>4.9000000000000002E-2</v>
      </c>
      <c r="X84" s="2" t="s">
        <v>395</v>
      </c>
      <c r="Y84" s="2" t="s">
        <v>897</v>
      </c>
      <c r="Z84" s="2" t="s">
        <v>898</v>
      </c>
      <c r="AA84" s="2" t="s">
        <v>899</v>
      </c>
      <c r="AB84" s="2">
        <v>-1</v>
      </c>
      <c r="AC84" s="2" t="s">
        <v>407</v>
      </c>
      <c r="AD84" s="2" t="s">
        <v>900</v>
      </c>
      <c r="AE84" s="2" t="s">
        <v>399</v>
      </c>
      <c r="AF84" s="2" t="s">
        <v>198</v>
      </c>
      <c r="AG84" s="2"/>
    </row>
    <row r="85" spans="1:33" ht="28">
      <c r="A85" s="2" t="s">
        <v>901</v>
      </c>
      <c r="B85" s="2" t="s">
        <v>193</v>
      </c>
      <c r="C85" s="2">
        <v>2021</v>
      </c>
      <c r="D85" s="2" t="s">
        <v>94</v>
      </c>
      <c r="E85" s="3" t="b">
        <v>1</v>
      </c>
      <c r="F85" s="2" t="s">
        <v>103</v>
      </c>
      <c r="G85" s="2" t="s">
        <v>889</v>
      </c>
      <c r="H85" s="2" t="s">
        <v>98</v>
      </c>
      <c r="I85" s="2" t="s">
        <v>890</v>
      </c>
      <c r="J85" s="2" t="s">
        <v>891</v>
      </c>
      <c r="K85" s="2" t="s">
        <v>892</v>
      </c>
      <c r="L85" s="2" t="s">
        <v>386</v>
      </c>
      <c r="M85" s="2" t="s">
        <v>902</v>
      </c>
      <c r="N85" s="2" t="s">
        <v>894</v>
      </c>
      <c r="O85" s="2" t="s">
        <v>816</v>
      </c>
      <c r="P85" s="2"/>
      <c r="Q85" s="2" t="s">
        <v>895</v>
      </c>
      <c r="R85" s="2" t="s">
        <v>896</v>
      </c>
      <c r="S85" s="2"/>
      <c r="T85" s="2"/>
      <c r="U85" s="2"/>
      <c r="V85" s="2" t="s">
        <v>830</v>
      </c>
      <c r="W85" s="2">
        <v>4.9000000000000002E-2</v>
      </c>
      <c r="X85" s="2" t="s">
        <v>395</v>
      </c>
      <c r="Y85" s="2" t="s">
        <v>897</v>
      </c>
      <c r="Z85" s="2" t="s">
        <v>898</v>
      </c>
      <c r="AA85" s="2" t="s">
        <v>395</v>
      </c>
      <c r="AB85" s="2">
        <v>-1</v>
      </c>
      <c r="AC85" s="2" t="s">
        <v>407</v>
      </c>
      <c r="AD85" s="2" t="s">
        <v>900</v>
      </c>
      <c r="AE85" s="2" t="s">
        <v>399</v>
      </c>
      <c r="AF85" s="2" t="s">
        <v>198</v>
      </c>
      <c r="AG85" s="2"/>
    </row>
    <row r="86" spans="1:33" ht="28">
      <c r="A86" s="2" t="s">
        <v>903</v>
      </c>
      <c r="B86" s="2" t="s">
        <v>193</v>
      </c>
      <c r="C86" s="2">
        <v>2021</v>
      </c>
      <c r="D86" s="2" t="s">
        <v>94</v>
      </c>
      <c r="E86" s="3" t="b">
        <v>1</v>
      </c>
      <c r="F86" s="2" t="s">
        <v>103</v>
      </c>
      <c r="G86" s="2" t="s">
        <v>889</v>
      </c>
      <c r="H86" s="2" t="s">
        <v>98</v>
      </c>
      <c r="I86" s="2" t="s">
        <v>890</v>
      </c>
      <c r="J86" s="2" t="s">
        <v>891</v>
      </c>
      <c r="K86" s="2" t="s">
        <v>892</v>
      </c>
      <c r="L86" s="2" t="s">
        <v>386</v>
      </c>
      <c r="M86" s="2" t="s">
        <v>904</v>
      </c>
      <c r="N86" s="2" t="s">
        <v>894</v>
      </c>
      <c r="O86" s="2" t="s">
        <v>816</v>
      </c>
      <c r="P86" s="2"/>
      <c r="Q86" s="2" t="s">
        <v>895</v>
      </c>
      <c r="R86" s="2" t="s">
        <v>896</v>
      </c>
      <c r="S86" s="2"/>
      <c r="T86" s="2"/>
      <c r="U86" s="2"/>
      <c r="V86" s="2" t="s">
        <v>830</v>
      </c>
      <c r="W86" s="2">
        <v>4.9000000000000002E-2</v>
      </c>
      <c r="X86" s="2" t="s">
        <v>395</v>
      </c>
      <c r="Y86" s="2" t="s">
        <v>897</v>
      </c>
      <c r="Z86" s="2" t="s">
        <v>898</v>
      </c>
      <c r="AA86" s="2" t="s">
        <v>395</v>
      </c>
      <c r="AB86" s="2">
        <v>-1</v>
      </c>
      <c r="AC86" s="2" t="s">
        <v>407</v>
      </c>
      <c r="AD86" s="2" t="s">
        <v>900</v>
      </c>
      <c r="AE86" s="2" t="s">
        <v>399</v>
      </c>
      <c r="AF86" s="2" t="s">
        <v>198</v>
      </c>
      <c r="AG86" s="2"/>
    </row>
    <row r="87" spans="1:33" ht="28">
      <c r="A87" s="2" t="s">
        <v>905</v>
      </c>
      <c r="B87" s="2" t="s">
        <v>193</v>
      </c>
      <c r="C87" s="2">
        <v>2021</v>
      </c>
      <c r="D87" s="2" t="s">
        <v>94</v>
      </c>
      <c r="E87" s="3" t="b">
        <v>1</v>
      </c>
      <c r="F87" s="2" t="s">
        <v>103</v>
      </c>
      <c r="G87" s="2" t="s">
        <v>889</v>
      </c>
      <c r="H87" s="2" t="s">
        <v>98</v>
      </c>
      <c r="I87" s="2" t="s">
        <v>890</v>
      </c>
      <c r="J87" s="2" t="s">
        <v>891</v>
      </c>
      <c r="K87" s="2" t="s">
        <v>892</v>
      </c>
      <c r="L87" s="2" t="s">
        <v>386</v>
      </c>
      <c r="M87" s="2" t="s">
        <v>906</v>
      </c>
      <c r="N87" s="2" t="s">
        <v>907</v>
      </c>
      <c r="O87" s="2" t="s">
        <v>896</v>
      </c>
      <c r="P87" s="2"/>
      <c r="Q87" s="2" t="s">
        <v>908</v>
      </c>
      <c r="R87" s="2" t="s">
        <v>816</v>
      </c>
      <c r="S87" s="2"/>
      <c r="T87" s="2"/>
      <c r="U87" s="2"/>
      <c r="V87" s="2" t="s">
        <v>830</v>
      </c>
      <c r="W87" s="2">
        <v>4.9000000000000002E-2</v>
      </c>
      <c r="X87" s="2" t="s">
        <v>395</v>
      </c>
      <c r="Y87" s="2" t="s">
        <v>909</v>
      </c>
      <c r="Z87" s="2" t="s">
        <v>910</v>
      </c>
      <c r="AA87" s="2" t="s">
        <v>395</v>
      </c>
      <c r="AB87" s="2">
        <v>-1</v>
      </c>
      <c r="AC87" s="2" t="s">
        <v>407</v>
      </c>
      <c r="AD87" s="2" t="s">
        <v>911</v>
      </c>
      <c r="AE87" s="2" t="s">
        <v>399</v>
      </c>
      <c r="AF87" s="2" t="s">
        <v>198</v>
      </c>
      <c r="AG87" s="2"/>
    </row>
    <row r="88" spans="1:33" ht="28">
      <c r="A88" s="2" t="s">
        <v>912</v>
      </c>
      <c r="B88" s="2" t="s">
        <v>193</v>
      </c>
      <c r="C88" s="2">
        <v>2021</v>
      </c>
      <c r="D88" s="2" t="s">
        <v>94</v>
      </c>
      <c r="E88" s="3" t="b">
        <v>1</v>
      </c>
      <c r="F88" s="2" t="s">
        <v>103</v>
      </c>
      <c r="G88" s="2" t="s">
        <v>889</v>
      </c>
      <c r="H88" s="2" t="s">
        <v>98</v>
      </c>
      <c r="I88" s="2" t="s">
        <v>890</v>
      </c>
      <c r="J88" s="2" t="s">
        <v>891</v>
      </c>
      <c r="K88" s="2" t="s">
        <v>892</v>
      </c>
      <c r="L88" s="2" t="s">
        <v>386</v>
      </c>
      <c r="M88" s="2" t="s">
        <v>913</v>
      </c>
      <c r="N88" s="2" t="s">
        <v>914</v>
      </c>
      <c r="O88" s="2" t="s">
        <v>915</v>
      </c>
      <c r="P88" s="2"/>
      <c r="Q88" s="2" t="s">
        <v>916</v>
      </c>
      <c r="R88" s="2" t="s">
        <v>816</v>
      </c>
      <c r="S88" s="2"/>
      <c r="T88" s="2"/>
      <c r="U88" s="2"/>
      <c r="V88" s="2" t="s">
        <v>830</v>
      </c>
      <c r="W88" s="2">
        <v>4.9000000000000002E-2</v>
      </c>
      <c r="X88" s="2" t="s">
        <v>395</v>
      </c>
      <c r="Y88" s="2" t="s">
        <v>917</v>
      </c>
      <c r="Z88" s="2" t="s">
        <v>395</v>
      </c>
      <c r="AA88" s="2" t="s">
        <v>395</v>
      </c>
      <c r="AB88" s="2">
        <v>-1</v>
      </c>
      <c r="AC88" s="2" t="s">
        <v>407</v>
      </c>
      <c r="AD88" s="2" t="s">
        <v>915</v>
      </c>
      <c r="AE88" s="2" t="s">
        <v>399</v>
      </c>
      <c r="AF88" s="2" t="s">
        <v>198</v>
      </c>
      <c r="AG88" s="2"/>
    </row>
    <row r="89" spans="1:33" ht="28">
      <c r="A89" s="2" t="s">
        <v>918</v>
      </c>
      <c r="B89" s="2" t="s">
        <v>193</v>
      </c>
      <c r="C89" s="2">
        <v>2021</v>
      </c>
      <c r="D89" s="2" t="s">
        <v>94</v>
      </c>
      <c r="E89" s="3" t="b">
        <v>1</v>
      </c>
      <c r="F89" s="2" t="s">
        <v>103</v>
      </c>
      <c r="G89" s="2" t="s">
        <v>889</v>
      </c>
      <c r="H89" s="2" t="s">
        <v>98</v>
      </c>
      <c r="I89" s="2" t="s">
        <v>890</v>
      </c>
      <c r="J89" s="2" t="s">
        <v>891</v>
      </c>
      <c r="K89" s="2" t="s">
        <v>892</v>
      </c>
      <c r="L89" s="2" t="s">
        <v>386</v>
      </c>
      <c r="M89" s="2" t="s">
        <v>919</v>
      </c>
      <c r="N89" s="2" t="s">
        <v>914</v>
      </c>
      <c r="O89" s="2" t="s">
        <v>915</v>
      </c>
      <c r="P89" s="2"/>
      <c r="Q89" s="2" t="s">
        <v>916</v>
      </c>
      <c r="R89" s="2" t="s">
        <v>816</v>
      </c>
      <c r="S89" s="2"/>
      <c r="T89" s="2"/>
      <c r="U89" s="2"/>
      <c r="V89" s="2" t="s">
        <v>830</v>
      </c>
      <c r="W89" s="2">
        <v>4.9000000000000002E-2</v>
      </c>
      <c r="X89" s="2" t="s">
        <v>395</v>
      </c>
      <c r="Y89" s="2" t="s">
        <v>917</v>
      </c>
      <c r="Z89" s="2" t="s">
        <v>395</v>
      </c>
      <c r="AA89" s="2" t="s">
        <v>395</v>
      </c>
      <c r="AB89" s="2">
        <v>-1</v>
      </c>
      <c r="AC89" s="2" t="s">
        <v>407</v>
      </c>
      <c r="AD89" s="2" t="s">
        <v>915</v>
      </c>
      <c r="AE89" s="2" t="s">
        <v>399</v>
      </c>
      <c r="AF89" s="2" t="s">
        <v>198</v>
      </c>
      <c r="AG89" s="2"/>
    </row>
    <row r="90" spans="1:33" ht="28">
      <c r="A90" s="2" t="s">
        <v>920</v>
      </c>
      <c r="B90" s="2" t="s">
        <v>193</v>
      </c>
      <c r="C90" s="2">
        <v>2021</v>
      </c>
      <c r="D90" s="2" t="s">
        <v>94</v>
      </c>
      <c r="E90" s="3" t="b">
        <v>1</v>
      </c>
      <c r="F90" s="2" t="s">
        <v>103</v>
      </c>
      <c r="G90" s="2" t="s">
        <v>889</v>
      </c>
      <c r="H90" s="2" t="s">
        <v>98</v>
      </c>
      <c r="I90" s="2" t="s">
        <v>890</v>
      </c>
      <c r="J90" s="2" t="s">
        <v>891</v>
      </c>
      <c r="K90" s="2" t="s">
        <v>892</v>
      </c>
      <c r="L90" s="2" t="s">
        <v>386</v>
      </c>
      <c r="M90" s="2" t="s">
        <v>921</v>
      </c>
      <c r="N90" s="2" t="s">
        <v>894</v>
      </c>
      <c r="O90" s="2" t="s">
        <v>779</v>
      </c>
      <c r="P90" s="2"/>
      <c r="Q90" s="2" t="s">
        <v>907</v>
      </c>
      <c r="R90" s="2" t="s">
        <v>922</v>
      </c>
      <c r="S90" s="2"/>
      <c r="T90" s="2"/>
      <c r="U90" s="2"/>
      <c r="V90" s="2" t="s">
        <v>830</v>
      </c>
      <c r="W90" s="2">
        <v>4.9000000000000002E-2</v>
      </c>
      <c r="X90" s="2" t="s">
        <v>395</v>
      </c>
      <c r="Y90" s="2" t="s">
        <v>909</v>
      </c>
      <c r="Z90" s="2" t="s">
        <v>395</v>
      </c>
      <c r="AA90" s="2" t="s">
        <v>395</v>
      </c>
      <c r="AB90" s="2">
        <v>1</v>
      </c>
      <c r="AC90" s="2" t="s">
        <v>397</v>
      </c>
      <c r="AD90" s="2" t="s">
        <v>923</v>
      </c>
      <c r="AE90" s="2" t="s">
        <v>399</v>
      </c>
      <c r="AF90" s="2" t="s">
        <v>198</v>
      </c>
      <c r="AG90" s="2"/>
    </row>
    <row r="91" spans="1:33" ht="28">
      <c r="A91" s="2" t="s">
        <v>924</v>
      </c>
      <c r="B91" s="2" t="s">
        <v>193</v>
      </c>
      <c r="C91" s="2">
        <v>2021</v>
      </c>
      <c r="D91" s="2" t="s">
        <v>94</v>
      </c>
      <c r="E91" s="3" t="b">
        <v>1</v>
      </c>
      <c r="F91" s="2" t="s">
        <v>103</v>
      </c>
      <c r="G91" s="2" t="s">
        <v>889</v>
      </c>
      <c r="H91" s="2" t="s">
        <v>98</v>
      </c>
      <c r="I91" s="2" t="s">
        <v>925</v>
      </c>
      <c r="J91" s="2" t="s">
        <v>926</v>
      </c>
      <c r="K91" s="2" t="s">
        <v>927</v>
      </c>
      <c r="L91" s="2" t="s">
        <v>410</v>
      </c>
      <c r="M91" s="2" t="s">
        <v>928</v>
      </c>
      <c r="N91" s="2" t="s">
        <v>929</v>
      </c>
      <c r="O91" s="2" t="s">
        <v>930</v>
      </c>
      <c r="P91" s="2"/>
      <c r="Q91" s="2" t="s">
        <v>931</v>
      </c>
      <c r="R91" s="2" t="s">
        <v>932</v>
      </c>
      <c r="S91" s="2"/>
      <c r="T91" s="2" t="s">
        <v>933</v>
      </c>
      <c r="U91" s="2" t="s">
        <v>934</v>
      </c>
      <c r="V91" s="2" t="s">
        <v>935</v>
      </c>
      <c r="W91" s="2">
        <v>1.3999999999999999E-4</v>
      </c>
      <c r="X91" s="2" t="s">
        <v>395</v>
      </c>
      <c r="Y91" s="2" t="s">
        <v>936</v>
      </c>
      <c r="Z91" s="2" t="s">
        <v>395</v>
      </c>
      <c r="AA91" s="2" t="s">
        <v>395</v>
      </c>
      <c r="AB91" s="2">
        <v>-1</v>
      </c>
      <c r="AC91" s="2" t="s">
        <v>407</v>
      </c>
      <c r="AD91" s="2" t="s">
        <v>896</v>
      </c>
      <c r="AE91" s="2" t="s">
        <v>399</v>
      </c>
      <c r="AF91" s="2" t="s">
        <v>198</v>
      </c>
      <c r="AG91" s="2"/>
    </row>
    <row r="92" spans="1:33" ht="28">
      <c r="A92" s="2" t="s">
        <v>937</v>
      </c>
      <c r="B92" s="2" t="s">
        <v>193</v>
      </c>
      <c r="C92" s="2">
        <v>2021</v>
      </c>
      <c r="D92" s="2" t="s">
        <v>94</v>
      </c>
      <c r="E92" s="3" t="b">
        <v>1</v>
      </c>
      <c r="F92" s="2" t="s">
        <v>103</v>
      </c>
      <c r="G92" s="2" t="s">
        <v>889</v>
      </c>
      <c r="H92" s="2" t="s">
        <v>98</v>
      </c>
      <c r="I92" s="2" t="s">
        <v>938</v>
      </c>
      <c r="J92" s="2" t="s">
        <v>926</v>
      </c>
      <c r="K92" s="2" t="s">
        <v>927</v>
      </c>
      <c r="L92" s="2" t="s">
        <v>410</v>
      </c>
      <c r="M92" s="2" t="s">
        <v>939</v>
      </c>
      <c r="N92" s="2" t="s">
        <v>940</v>
      </c>
      <c r="O92" s="2" t="s">
        <v>941</v>
      </c>
      <c r="P92" s="2"/>
      <c r="Q92" s="2" t="s">
        <v>931</v>
      </c>
      <c r="R92" s="2" t="s">
        <v>932</v>
      </c>
      <c r="S92" s="2"/>
      <c r="T92" s="2" t="s">
        <v>942</v>
      </c>
      <c r="U92" s="2" t="s">
        <v>943</v>
      </c>
      <c r="V92" s="2" t="s">
        <v>944</v>
      </c>
      <c r="W92" s="2">
        <v>3.1E-4</v>
      </c>
      <c r="X92" s="2" t="s">
        <v>395</v>
      </c>
      <c r="Y92" s="2" t="s">
        <v>945</v>
      </c>
      <c r="Z92" s="2" t="s">
        <v>395</v>
      </c>
      <c r="AA92" s="2" t="s">
        <v>395</v>
      </c>
      <c r="AB92" s="2">
        <v>-1</v>
      </c>
      <c r="AC92" s="2" t="s">
        <v>407</v>
      </c>
      <c r="AD92" s="2" t="s">
        <v>896</v>
      </c>
      <c r="AE92" s="2" t="s">
        <v>399</v>
      </c>
      <c r="AF92" s="2" t="s">
        <v>198</v>
      </c>
      <c r="AG92" s="2"/>
    </row>
    <row r="93" spans="1:33" ht="42">
      <c r="A93" s="2" t="s">
        <v>946</v>
      </c>
      <c r="B93" s="2" t="s">
        <v>193</v>
      </c>
      <c r="C93" s="2">
        <v>2021</v>
      </c>
      <c r="D93" s="2" t="s">
        <v>94</v>
      </c>
      <c r="E93" s="3" t="b">
        <v>1</v>
      </c>
      <c r="F93" s="2" t="s">
        <v>103</v>
      </c>
      <c r="G93" s="2" t="s">
        <v>889</v>
      </c>
      <c r="H93" s="2" t="s">
        <v>98</v>
      </c>
      <c r="I93" s="2" t="s">
        <v>938</v>
      </c>
      <c r="J93" s="2" t="s">
        <v>926</v>
      </c>
      <c r="K93" s="2" t="s">
        <v>927</v>
      </c>
      <c r="L93" s="2" t="s">
        <v>410</v>
      </c>
      <c r="M93" s="2" t="s">
        <v>947</v>
      </c>
      <c r="N93" s="2" t="s">
        <v>948</v>
      </c>
      <c r="O93" s="2" t="s">
        <v>949</v>
      </c>
      <c r="P93" s="2"/>
      <c r="Q93" s="2" t="s">
        <v>931</v>
      </c>
      <c r="R93" s="2" t="s">
        <v>932</v>
      </c>
      <c r="S93" s="2"/>
      <c r="T93" s="2" t="s">
        <v>942</v>
      </c>
      <c r="U93" s="2" t="s">
        <v>950</v>
      </c>
      <c r="V93" s="2" t="s">
        <v>951</v>
      </c>
      <c r="W93" s="2">
        <v>1.01E-3</v>
      </c>
      <c r="X93" s="2" t="s">
        <v>395</v>
      </c>
      <c r="Y93" s="2" t="s">
        <v>945</v>
      </c>
      <c r="Z93" s="2" t="s">
        <v>395</v>
      </c>
      <c r="AA93" s="2" t="s">
        <v>395</v>
      </c>
      <c r="AB93" s="2">
        <v>-1</v>
      </c>
      <c r="AC93" s="2" t="s">
        <v>407</v>
      </c>
      <c r="AD93" s="2" t="s">
        <v>896</v>
      </c>
      <c r="AE93" s="2" t="s">
        <v>399</v>
      </c>
      <c r="AF93" s="2" t="s">
        <v>198</v>
      </c>
      <c r="AG93" s="2"/>
    </row>
    <row r="94" spans="1:33" ht="42">
      <c r="A94" s="2" t="s">
        <v>952</v>
      </c>
      <c r="B94" s="2" t="s">
        <v>193</v>
      </c>
      <c r="C94" s="2">
        <v>2021</v>
      </c>
      <c r="D94" s="2" t="s">
        <v>94</v>
      </c>
      <c r="E94" s="3" t="b">
        <v>1</v>
      </c>
      <c r="F94" s="2" t="s">
        <v>103</v>
      </c>
      <c r="G94" s="2" t="s">
        <v>889</v>
      </c>
      <c r="H94" s="2" t="s">
        <v>98</v>
      </c>
      <c r="I94" s="2" t="s">
        <v>938</v>
      </c>
      <c r="J94" s="2" t="s">
        <v>926</v>
      </c>
      <c r="K94" s="2" t="s">
        <v>927</v>
      </c>
      <c r="L94" s="2" t="s">
        <v>410</v>
      </c>
      <c r="M94" s="2" t="s">
        <v>953</v>
      </c>
      <c r="N94" s="2" t="s">
        <v>954</v>
      </c>
      <c r="O94" s="2" t="s">
        <v>955</v>
      </c>
      <c r="P94" s="2"/>
      <c r="Q94" s="2" t="s">
        <v>931</v>
      </c>
      <c r="R94" s="2" t="s">
        <v>932</v>
      </c>
      <c r="S94" s="2"/>
      <c r="T94" s="2" t="s">
        <v>956</v>
      </c>
      <c r="U94" s="2" t="s">
        <v>957</v>
      </c>
      <c r="V94" s="2" t="s">
        <v>958</v>
      </c>
      <c r="W94" s="2">
        <v>2.2799999999999999E-3</v>
      </c>
      <c r="X94" s="2" t="s">
        <v>395</v>
      </c>
      <c r="Y94" s="2" t="s">
        <v>945</v>
      </c>
      <c r="Z94" s="2" t="s">
        <v>395</v>
      </c>
      <c r="AA94" s="2" t="s">
        <v>395</v>
      </c>
      <c r="AB94" s="2">
        <v>-1</v>
      </c>
      <c r="AC94" s="2" t="s">
        <v>407</v>
      </c>
      <c r="AD94" s="2" t="s">
        <v>896</v>
      </c>
      <c r="AE94" s="2" t="s">
        <v>399</v>
      </c>
      <c r="AF94" s="2" t="s">
        <v>198</v>
      </c>
      <c r="AG94" s="2"/>
    </row>
    <row r="95" spans="1:33" ht="42">
      <c r="A95" s="2" t="s">
        <v>959</v>
      </c>
      <c r="B95" s="2" t="s">
        <v>193</v>
      </c>
      <c r="C95" s="2">
        <v>2021</v>
      </c>
      <c r="D95" s="2" t="s">
        <v>94</v>
      </c>
      <c r="E95" s="3" t="b">
        <v>1</v>
      </c>
      <c r="F95" s="2" t="s">
        <v>103</v>
      </c>
      <c r="G95" s="2" t="s">
        <v>889</v>
      </c>
      <c r="H95" s="2" t="s">
        <v>98</v>
      </c>
      <c r="I95" s="2" t="s">
        <v>938</v>
      </c>
      <c r="J95" s="2" t="s">
        <v>926</v>
      </c>
      <c r="K95" s="2" t="s">
        <v>927</v>
      </c>
      <c r="L95" s="2" t="s">
        <v>410</v>
      </c>
      <c r="M95" s="2" t="s">
        <v>960</v>
      </c>
      <c r="N95" s="2" t="s">
        <v>961</v>
      </c>
      <c r="O95" s="2" t="s">
        <v>962</v>
      </c>
      <c r="P95" s="2"/>
      <c r="Q95" s="2" t="s">
        <v>931</v>
      </c>
      <c r="R95" s="2" t="s">
        <v>932</v>
      </c>
      <c r="S95" s="2"/>
      <c r="T95" s="2" t="s">
        <v>963</v>
      </c>
      <c r="U95" s="2" t="s">
        <v>964</v>
      </c>
      <c r="V95" s="2" t="s">
        <v>965</v>
      </c>
      <c r="W95" s="2">
        <v>3.9399999999999999E-3</v>
      </c>
      <c r="X95" s="2" t="s">
        <v>395</v>
      </c>
      <c r="Y95" s="2" t="s">
        <v>945</v>
      </c>
      <c r="Z95" s="2" t="s">
        <v>395</v>
      </c>
      <c r="AA95" s="2" t="s">
        <v>395</v>
      </c>
      <c r="AB95" s="2">
        <v>-1</v>
      </c>
      <c r="AC95" s="2" t="s">
        <v>407</v>
      </c>
      <c r="AD95" s="2" t="s">
        <v>896</v>
      </c>
      <c r="AE95" s="2" t="s">
        <v>399</v>
      </c>
      <c r="AF95" s="2" t="s">
        <v>198</v>
      </c>
      <c r="AG95" s="2"/>
    </row>
    <row r="96" spans="1:33" ht="28">
      <c r="A96" s="2" t="s">
        <v>966</v>
      </c>
      <c r="B96" s="2" t="s">
        <v>193</v>
      </c>
      <c r="C96" s="2">
        <v>2021</v>
      </c>
      <c r="D96" s="2" t="s">
        <v>94</v>
      </c>
      <c r="E96" s="3" t="b">
        <v>1</v>
      </c>
      <c r="F96" s="2" t="s">
        <v>103</v>
      </c>
      <c r="G96" s="2" t="s">
        <v>889</v>
      </c>
      <c r="H96" s="2" t="s">
        <v>98</v>
      </c>
      <c r="I96" s="2" t="s">
        <v>938</v>
      </c>
      <c r="J96" s="2" t="s">
        <v>926</v>
      </c>
      <c r="K96" s="2" t="s">
        <v>927</v>
      </c>
      <c r="L96" s="2" t="s">
        <v>410</v>
      </c>
      <c r="M96" s="2" t="s">
        <v>967</v>
      </c>
      <c r="N96" s="2" t="s">
        <v>968</v>
      </c>
      <c r="O96" s="2" t="s">
        <v>969</v>
      </c>
      <c r="P96" s="2"/>
      <c r="Q96" s="2" t="s">
        <v>931</v>
      </c>
      <c r="R96" s="2" t="s">
        <v>932</v>
      </c>
      <c r="S96" s="2"/>
      <c r="T96" s="2" t="s">
        <v>970</v>
      </c>
      <c r="U96" s="2" t="s">
        <v>971</v>
      </c>
      <c r="V96" s="2" t="s">
        <v>972</v>
      </c>
      <c r="W96" s="2">
        <v>1.081E-2</v>
      </c>
      <c r="X96" s="2" t="s">
        <v>395</v>
      </c>
      <c r="Y96" s="2" t="s">
        <v>945</v>
      </c>
      <c r="Z96" s="2" t="s">
        <v>395</v>
      </c>
      <c r="AA96" s="2" t="s">
        <v>395</v>
      </c>
      <c r="AB96" s="2">
        <v>-1</v>
      </c>
      <c r="AC96" s="2" t="s">
        <v>407</v>
      </c>
      <c r="AD96" s="2" t="s">
        <v>896</v>
      </c>
      <c r="AE96" s="2" t="s">
        <v>399</v>
      </c>
      <c r="AF96" s="2" t="s">
        <v>198</v>
      </c>
      <c r="AG96" s="2"/>
    </row>
    <row r="97" spans="1:33" ht="28">
      <c r="A97" s="2" t="s">
        <v>973</v>
      </c>
      <c r="B97" s="2" t="s">
        <v>193</v>
      </c>
      <c r="C97" s="2">
        <v>2021</v>
      </c>
      <c r="D97" s="2" t="s">
        <v>94</v>
      </c>
      <c r="E97" s="3" t="b">
        <v>1</v>
      </c>
      <c r="F97" s="2" t="s">
        <v>103</v>
      </c>
      <c r="G97" s="2" t="s">
        <v>889</v>
      </c>
      <c r="H97" s="2" t="s">
        <v>98</v>
      </c>
      <c r="I97" s="2" t="s">
        <v>938</v>
      </c>
      <c r="J97" s="2" t="s">
        <v>926</v>
      </c>
      <c r="K97" s="2" t="s">
        <v>927</v>
      </c>
      <c r="L97" s="2" t="s">
        <v>410</v>
      </c>
      <c r="M97" s="2" t="s">
        <v>974</v>
      </c>
      <c r="N97" s="2" t="s">
        <v>975</v>
      </c>
      <c r="O97" s="2" t="s">
        <v>976</v>
      </c>
      <c r="P97" s="2"/>
      <c r="Q97" s="2" t="s">
        <v>931</v>
      </c>
      <c r="R97" s="2" t="s">
        <v>932</v>
      </c>
      <c r="S97" s="2"/>
      <c r="T97" s="2" t="s">
        <v>942</v>
      </c>
      <c r="U97" s="2" t="s">
        <v>977</v>
      </c>
      <c r="V97" s="2" t="s">
        <v>978</v>
      </c>
      <c r="W97" s="2">
        <v>1.124E-2</v>
      </c>
      <c r="X97" s="2" t="s">
        <v>395</v>
      </c>
      <c r="Y97" s="2" t="s">
        <v>945</v>
      </c>
      <c r="Z97" s="2" t="s">
        <v>395</v>
      </c>
      <c r="AA97" s="2" t="s">
        <v>395</v>
      </c>
      <c r="AB97" s="2">
        <v>-1</v>
      </c>
      <c r="AC97" s="2" t="s">
        <v>407</v>
      </c>
      <c r="AD97" s="2" t="s">
        <v>896</v>
      </c>
      <c r="AE97" s="2" t="s">
        <v>399</v>
      </c>
      <c r="AF97" s="2" t="s">
        <v>198</v>
      </c>
      <c r="AG97" s="2"/>
    </row>
    <row r="98" spans="1:33" ht="28">
      <c r="A98" s="2" t="s">
        <v>979</v>
      </c>
      <c r="B98" s="2" t="s">
        <v>193</v>
      </c>
      <c r="C98" s="2">
        <v>2021</v>
      </c>
      <c r="D98" s="2" t="s">
        <v>94</v>
      </c>
      <c r="E98" s="3" t="b">
        <v>1</v>
      </c>
      <c r="F98" s="2" t="s">
        <v>103</v>
      </c>
      <c r="G98" s="2" t="s">
        <v>889</v>
      </c>
      <c r="H98" s="2" t="s">
        <v>98</v>
      </c>
      <c r="I98" s="2" t="s">
        <v>938</v>
      </c>
      <c r="J98" s="2" t="s">
        <v>926</v>
      </c>
      <c r="K98" s="2" t="s">
        <v>927</v>
      </c>
      <c r="L98" s="2" t="s">
        <v>410</v>
      </c>
      <c r="M98" s="2" t="s">
        <v>980</v>
      </c>
      <c r="N98" s="2" t="s">
        <v>981</v>
      </c>
      <c r="O98" s="2" t="s">
        <v>982</v>
      </c>
      <c r="P98" s="2"/>
      <c r="Q98" s="2" t="s">
        <v>931</v>
      </c>
      <c r="R98" s="2" t="s">
        <v>932</v>
      </c>
      <c r="S98" s="2"/>
      <c r="T98" s="2" t="s">
        <v>942</v>
      </c>
      <c r="U98" s="2" t="s">
        <v>983</v>
      </c>
      <c r="V98" s="2" t="s">
        <v>984</v>
      </c>
      <c r="W98" s="2">
        <v>2.3449999999999999E-2</v>
      </c>
      <c r="X98" s="2" t="s">
        <v>395</v>
      </c>
      <c r="Y98" s="2" t="s">
        <v>945</v>
      </c>
      <c r="Z98" s="2" t="s">
        <v>395</v>
      </c>
      <c r="AA98" s="2" t="s">
        <v>395</v>
      </c>
      <c r="AB98" s="2">
        <v>-1</v>
      </c>
      <c r="AC98" s="2" t="s">
        <v>407</v>
      </c>
      <c r="AD98" s="2" t="s">
        <v>896</v>
      </c>
      <c r="AE98" s="2" t="s">
        <v>399</v>
      </c>
      <c r="AF98" s="2" t="s">
        <v>198</v>
      </c>
      <c r="AG98" s="2"/>
    </row>
    <row r="99" spans="1:33" ht="28">
      <c r="A99" s="2" t="s">
        <v>985</v>
      </c>
      <c r="B99" s="2" t="s">
        <v>193</v>
      </c>
      <c r="C99" s="2">
        <v>2021</v>
      </c>
      <c r="D99" s="2" t="s">
        <v>94</v>
      </c>
      <c r="E99" s="3" t="b">
        <v>1</v>
      </c>
      <c r="F99" s="2" t="s">
        <v>103</v>
      </c>
      <c r="G99" s="2" t="s">
        <v>889</v>
      </c>
      <c r="H99" s="2" t="s">
        <v>98</v>
      </c>
      <c r="I99" s="2" t="s">
        <v>938</v>
      </c>
      <c r="J99" s="2" t="s">
        <v>926</v>
      </c>
      <c r="K99" s="2" t="s">
        <v>927</v>
      </c>
      <c r="L99" s="2" t="s">
        <v>410</v>
      </c>
      <c r="M99" s="2" t="s">
        <v>986</v>
      </c>
      <c r="N99" s="2" t="s">
        <v>987</v>
      </c>
      <c r="O99" s="2" t="s">
        <v>962</v>
      </c>
      <c r="P99" s="2"/>
      <c r="Q99" s="2" t="s">
        <v>931</v>
      </c>
      <c r="R99" s="2" t="s">
        <v>932</v>
      </c>
      <c r="S99" s="2"/>
      <c r="T99" s="2" t="s">
        <v>988</v>
      </c>
      <c r="U99" s="2" t="s">
        <v>989</v>
      </c>
      <c r="V99" s="2" t="s">
        <v>990</v>
      </c>
      <c r="W99" s="2">
        <v>2.5000000000000001E-2</v>
      </c>
      <c r="X99" s="2" t="s">
        <v>395</v>
      </c>
      <c r="Y99" s="2" t="s">
        <v>945</v>
      </c>
      <c r="Z99" s="2" t="s">
        <v>395</v>
      </c>
      <c r="AA99" s="2" t="s">
        <v>395</v>
      </c>
      <c r="AB99" s="2">
        <v>-1</v>
      </c>
      <c r="AC99" s="2" t="s">
        <v>407</v>
      </c>
      <c r="AD99" s="2" t="s">
        <v>896</v>
      </c>
      <c r="AE99" s="2" t="s">
        <v>399</v>
      </c>
      <c r="AF99" s="2" t="s">
        <v>198</v>
      </c>
      <c r="AG99" s="2"/>
    </row>
    <row r="100" spans="1:33" ht="28">
      <c r="A100" s="2" t="s">
        <v>991</v>
      </c>
      <c r="B100" s="2" t="s">
        <v>193</v>
      </c>
      <c r="C100" s="2">
        <v>2021</v>
      </c>
      <c r="D100" s="2" t="s">
        <v>94</v>
      </c>
      <c r="E100" s="3" t="b">
        <v>1</v>
      </c>
      <c r="F100" s="2" t="s">
        <v>103</v>
      </c>
      <c r="G100" s="2" t="s">
        <v>889</v>
      </c>
      <c r="H100" s="2" t="s">
        <v>98</v>
      </c>
      <c r="I100" s="2" t="s">
        <v>938</v>
      </c>
      <c r="J100" s="2" t="s">
        <v>926</v>
      </c>
      <c r="K100" s="2" t="s">
        <v>927</v>
      </c>
      <c r="L100" s="2" t="s">
        <v>410</v>
      </c>
      <c r="M100" s="2" t="s">
        <v>992</v>
      </c>
      <c r="N100" s="2" t="s">
        <v>993</v>
      </c>
      <c r="O100" s="2" t="s">
        <v>962</v>
      </c>
      <c r="P100" s="2"/>
      <c r="Q100" s="2" t="s">
        <v>931</v>
      </c>
      <c r="R100" s="2" t="s">
        <v>932</v>
      </c>
      <c r="S100" s="2"/>
      <c r="T100" s="2" t="s">
        <v>956</v>
      </c>
      <c r="U100" s="2" t="s">
        <v>994</v>
      </c>
      <c r="V100" s="2" t="s">
        <v>995</v>
      </c>
      <c r="W100" s="2">
        <v>3.576E-2</v>
      </c>
      <c r="X100" s="2" t="s">
        <v>395</v>
      </c>
      <c r="Y100" s="2" t="s">
        <v>945</v>
      </c>
      <c r="Z100" s="2" t="s">
        <v>395</v>
      </c>
      <c r="AA100" s="2" t="s">
        <v>395</v>
      </c>
      <c r="AB100" s="2">
        <v>-1</v>
      </c>
      <c r="AC100" s="2" t="s">
        <v>407</v>
      </c>
      <c r="AD100" s="2" t="s">
        <v>896</v>
      </c>
      <c r="AE100" s="2" t="s">
        <v>399</v>
      </c>
      <c r="AF100" s="2" t="s">
        <v>198</v>
      </c>
      <c r="AG100" s="2"/>
    </row>
    <row r="101" spans="1:33" ht="28">
      <c r="A101" s="2" t="s">
        <v>996</v>
      </c>
      <c r="B101" s="2" t="s">
        <v>193</v>
      </c>
      <c r="C101" s="2">
        <v>2021</v>
      </c>
      <c r="D101" s="2" t="s">
        <v>94</v>
      </c>
      <c r="E101" s="3" t="b">
        <v>1</v>
      </c>
      <c r="F101" s="2" t="s">
        <v>103</v>
      </c>
      <c r="G101" s="2" t="s">
        <v>889</v>
      </c>
      <c r="H101" s="2" t="s">
        <v>98</v>
      </c>
      <c r="I101" s="2" t="s">
        <v>938</v>
      </c>
      <c r="J101" s="2" t="s">
        <v>926</v>
      </c>
      <c r="K101" s="2" t="s">
        <v>927</v>
      </c>
      <c r="L101" s="2" t="s">
        <v>410</v>
      </c>
      <c r="M101" s="2" t="s">
        <v>997</v>
      </c>
      <c r="N101" s="2" t="s">
        <v>998</v>
      </c>
      <c r="O101" s="2" t="s">
        <v>999</v>
      </c>
      <c r="P101" s="2"/>
      <c r="Q101" s="2" t="s">
        <v>931</v>
      </c>
      <c r="R101" s="2" t="s">
        <v>932</v>
      </c>
      <c r="S101" s="2"/>
      <c r="T101" s="2" t="s">
        <v>956</v>
      </c>
      <c r="U101" s="2" t="s">
        <v>1000</v>
      </c>
      <c r="V101" s="2" t="s">
        <v>1001</v>
      </c>
      <c r="W101" s="2">
        <v>3.9829999999999997E-2</v>
      </c>
      <c r="X101" s="2" t="s">
        <v>395</v>
      </c>
      <c r="Y101" s="2" t="s">
        <v>945</v>
      </c>
      <c r="Z101" s="2" t="s">
        <v>395</v>
      </c>
      <c r="AA101" s="2" t="s">
        <v>395</v>
      </c>
      <c r="AB101" s="2">
        <v>-1</v>
      </c>
      <c r="AC101" s="2" t="s">
        <v>407</v>
      </c>
      <c r="AD101" s="2" t="s">
        <v>896</v>
      </c>
      <c r="AE101" s="2" t="s">
        <v>399</v>
      </c>
      <c r="AF101" s="2" t="s">
        <v>198</v>
      </c>
      <c r="AG101" s="2"/>
    </row>
    <row r="102" spans="1:33" ht="28">
      <c r="A102" s="2" t="s">
        <v>1002</v>
      </c>
      <c r="B102" s="2" t="s">
        <v>193</v>
      </c>
      <c r="C102" s="2">
        <v>2021</v>
      </c>
      <c r="D102" s="2" t="s">
        <v>94</v>
      </c>
      <c r="E102" s="3" t="b">
        <v>1</v>
      </c>
      <c r="F102" s="2" t="s">
        <v>103</v>
      </c>
      <c r="G102" s="2" t="s">
        <v>889</v>
      </c>
      <c r="H102" s="2" t="s">
        <v>98</v>
      </c>
      <c r="I102" s="2" t="s">
        <v>938</v>
      </c>
      <c r="J102" s="2" t="s">
        <v>926</v>
      </c>
      <c r="K102" s="2" t="s">
        <v>927</v>
      </c>
      <c r="L102" s="2" t="s">
        <v>410</v>
      </c>
      <c r="M102" s="2" t="s">
        <v>1003</v>
      </c>
      <c r="N102" s="2" t="s">
        <v>1004</v>
      </c>
      <c r="O102" s="2" t="s">
        <v>1005</v>
      </c>
      <c r="P102" s="2"/>
      <c r="Q102" s="2" t="s">
        <v>931</v>
      </c>
      <c r="R102" s="2" t="s">
        <v>932</v>
      </c>
      <c r="S102" s="2"/>
      <c r="T102" s="2" t="s">
        <v>1006</v>
      </c>
      <c r="U102" s="2" t="s">
        <v>1007</v>
      </c>
      <c r="V102" s="2" t="s">
        <v>1008</v>
      </c>
      <c r="W102" s="2">
        <v>4.0300000000000002E-2</v>
      </c>
      <c r="X102" s="2" t="s">
        <v>395</v>
      </c>
      <c r="Y102" s="2" t="s">
        <v>945</v>
      </c>
      <c r="Z102" s="2" t="s">
        <v>395</v>
      </c>
      <c r="AA102" s="2" t="s">
        <v>395</v>
      </c>
      <c r="AB102" s="2">
        <v>-1</v>
      </c>
      <c r="AC102" s="2" t="s">
        <v>407</v>
      </c>
      <c r="AD102" s="2" t="s">
        <v>896</v>
      </c>
      <c r="AE102" s="2" t="s">
        <v>399</v>
      </c>
      <c r="AF102" s="2" t="s">
        <v>198</v>
      </c>
      <c r="AG102" s="2"/>
    </row>
    <row r="103" spans="1:33" ht="42">
      <c r="A103" s="2" t="s">
        <v>1009</v>
      </c>
      <c r="B103" s="2" t="s">
        <v>193</v>
      </c>
      <c r="C103" s="2">
        <v>2021</v>
      </c>
      <c r="D103" s="2" t="s">
        <v>94</v>
      </c>
      <c r="E103" s="3" t="b">
        <v>1</v>
      </c>
      <c r="F103" s="2" t="s">
        <v>103</v>
      </c>
      <c r="G103" s="2" t="s">
        <v>889</v>
      </c>
      <c r="H103" s="2" t="s">
        <v>98</v>
      </c>
      <c r="I103" s="2" t="s">
        <v>938</v>
      </c>
      <c r="J103" s="2" t="s">
        <v>926</v>
      </c>
      <c r="K103" s="2" t="s">
        <v>927</v>
      </c>
      <c r="L103" s="2" t="s">
        <v>410</v>
      </c>
      <c r="M103" s="2" t="s">
        <v>1010</v>
      </c>
      <c r="N103" s="2" t="s">
        <v>1011</v>
      </c>
      <c r="O103" s="2" t="s">
        <v>1012</v>
      </c>
      <c r="P103" s="2"/>
      <c r="Q103" s="2" t="s">
        <v>931</v>
      </c>
      <c r="R103" s="2" t="s">
        <v>1013</v>
      </c>
      <c r="S103" s="2"/>
      <c r="T103" s="2" t="s">
        <v>1014</v>
      </c>
      <c r="U103" s="2" t="s">
        <v>1015</v>
      </c>
      <c r="V103" s="2" t="s">
        <v>1016</v>
      </c>
      <c r="W103" s="2">
        <v>5.1999999999999995E-4</v>
      </c>
      <c r="X103" s="2" t="s">
        <v>395</v>
      </c>
      <c r="Y103" s="2" t="s">
        <v>945</v>
      </c>
      <c r="Z103" s="2" t="s">
        <v>395</v>
      </c>
      <c r="AA103" s="2" t="s">
        <v>395</v>
      </c>
      <c r="AB103" s="2">
        <v>1</v>
      </c>
      <c r="AC103" s="2" t="s">
        <v>397</v>
      </c>
      <c r="AD103" s="2" t="s">
        <v>922</v>
      </c>
      <c r="AE103" s="2" t="s">
        <v>399</v>
      </c>
      <c r="AF103" s="2" t="s">
        <v>198</v>
      </c>
      <c r="AG103" s="2"/>
    </row>
    <row r="104" spans="1:33" ht="28">
      <c r="A104" s="2" t="s">
        <v>1017</v>
      </c>
      <c r="B104" s="2" t="s">
        <v>193</v>
      </c>
      <c r="C104" s="2">
        <v>2021</v>
      </c>
      <c r="D104" s="2" t="s">
        <v>94</v>
      </c>
      <c r="E104" s="3" t="b">
        <v>1</v>
      </c>
      <c r="F104" s="2" t="s">
        <v>103</v>
      </c>
      <c r="G104" s="2" t="s">
        <v>889</v>
      </c>
      <c r="H104" s="2" t="s">
        <v>98</v>
      </c>
      <c r="I104" s="2" t="s">
        <v>938</v>
      </c>
      <c r="J104" s="2" t="s">
        <v>926</v>
      </c>
      <c r="K104" s="2" t="s">
        <v>927</v>
      </c>
      <c r="L104" s="2" t="s">
        <v>410</v>
      </c>
      <c r="M104" s="2" t="s">
        <v>1018</v>
      </c>
      <c r="N104" s="2" t="s">
        <v>1019</v>
      </c>
      <c r="O104" s="2" t="s">
        <v>1020</v>
      </c>
      <c r="P104" s="2"/>
      <c r="Q104" s="2" t="s">
        <v>931</v>
      </c>
      <c r="R104" s="2" t="s">
        <v>1013</v>
      </c>
      <c r="S104" s="2"/>
      <c r="T104" s="2" t="s">
        <v>1014</v>
      </c>
      <c r="U104" s="2" t="s">
        <v>1021</v>
      </c>
      <c r="V104" s="2" t="s">
        <v>1022</v>
      </c>
      <c r="W104" s="2">
        <v>1.25E-3</v>
      </c>
      <c r="X104" s="2" t="s">
        <v>395</v>
      </c>
      <c r="Y104" s="2" t="s">
        <v>945</v>
      </c>
      <c r="Z104" s="2" t="s">
        <v>395</v>
      </c>
      <c r="AA104" s="2" t="s">
        <v>395</v>
      </c>
      <c r="AB104" s="2">
        <v>1</v>
      </c>
      <c r="AC104" s="2" t="s">
        <v>397</v>
      </c>
      <c r="AD104" s="2" t="s">
        <v>922</v>
      </c>
      <c r="AE104" s="2" t="s">
        <v>399</v>
      </c>
      <c r="AF104" s="2" t="s">
        <v>198</v>
      </c>
      <c r="AG104" s="2"/>
    </row>
    <row r="105" spans="1:33" ht="42">
      <c r="A105" s="2" t="s">
        <v>1023</v>
      </c>
      <c r="B105" s="2" t="s">
        <v>193</v>
      </c>
      <c r="C105" s="2">
        <v>2021</v>
      </c>
      <c r="D105" s="2" t="s">
        <v>94</v>
      </c>
      <c r="E105" s="3" t="b">
        <v>1</v>
      </c>
      <c r="F105" s="2" t="s">
        <v>103</v>
      </c>
      <c r="G105" s="2" t="s">
        <v>889</v>
      </c>
      <c r="H105" s="2" t="s">
        <v>98</v>
      </c>
      <c r="I105" s="2" t="s">
        <v>938</v>
      </c>
      <c r="J105" s="2" t="s">
        <v>926</v>
      </c>
      <c r="K105" s="2" t="s">
        <v>927</v>
      </c>
      <c r="L105" s="2" t="s">
        <v>410</v>
      </c>
      <c r="M105" s="2" t="s">
        <v>1024</v>
      </c>
      <c r="N105" s="2" t="s">
        <v>1025</v>
      </c>
      <c r="O105" s="2" t="s">
        <v>1026</v>
      </c>
      <c r="P105" s="2"/>
      <c r="Q105" s="2" t="s">
        <v>931</v>
      </c>
      <c r="R105" s="2" t="s">
        <v>1013</v>
      </c>
      <c r="S105" s="2"/>
      <c r="T105" s="2" t="s">
        <v>1014</v>
      </c>
      <c r="U105" s="2" t="s">
        <v>1027</v>
      </c>
      <c r="V105" s="2" t="s">
        <v>1028</v>
      </c>
      <c r="W105" s="2">
        <v>1.89E-3</v>
      </c>
      <c r="X105" s="2" t="s">
        <v>395</v>
      </c>
      <c r="Y105" s="2" t="s">
        <v>945</v>
      </c>
      <c r="Z105" s="2" t="s">
        <v>395</v>
      </c>
      <c r="AA105" s="2" t="s">
        <v>395</v>
      </c>
      <c r="AB105" s="2">
        <v>1</v>
      </c>
      <c r="AC105" s="2" t="s">
        <v>397</v>
      </c>
      <c r="AD105" s="2" t="s">
        <v>922</v>
      </c>
      <c r="AE105" s="2" t="s">
        <v>399</v>
      </c>
      <c r="AF105" s="2" t="s">
        <v>198</v>
      </c>
      <c r="AG105" s="2"/>
    </row>
    <row r="106" spans="1:33" ht="28">
      <c r="A106" s="2" t="s">
        <v>1029</v>
      </c>
      <c r="B106" s="2" t="s">
        <v>193</v>
      </c>
      <c r="C106" s="2">
        <v>2021</v>
      </c>
      <c r="D106" s="2" t="s">
        <v>94</v>
      </c>
      <c r="E106" s="3" t="b">
        <v>1</v>
      </c>
      <c r="F106" s="2" t="s">
        <v>103</v>
      </c>
      <c r="G106" s="2" t="s">
        <v>889</v>
      </c>
      <c r="H106" s="2" t="s">
        <v>98</v>
      </c>
      <c r="I106" s="2" t="s">
        <v>938</v>
      </c>
      <c r="J106" s="2" t="s">
        <v>926</v>
      </c>
      <c r="K106" s="2" t="s">
        <v>927</v>
      </c>
      <c r="L106" s="2" t="s">
        <v>410</v>
      </c>
      <c r="M106" s="2" t="s">
        <v>1030</v>
      </c>
      <c r="N106" s="2" t="s">
        <v>1031</v>
      </c>
      <c r="O106" s="2" t="s">
        <v>1032</v>
      </c>
      <c r="P106" s="2"/>
      <c r="Q106" s="2" t="s">
        <v>931</v>
      </c>
      <c r="R106" s="2" t="s">
        <v>1013</v>
      </c>
      <c r="S106" s="2"/>
      <c r="T106" s="2" t="s">
        <v>1033</v>
      </c>
      <c r="U106" s="2" t="s">
        <v>1034</v>
      </c>
      <c r="V106" s="2" t="s">
        <v>1035</v>
      </c>
      <c r="W106" s="2">
        <v>1.9599999999999999E-3</v>
      </c>
      <c r="X106" s="2" t="s">
        <v>395</v>
      </c>
      <c r="Y106" s="2" t="s">
        <v>945</v>
      </c>
      <c r="Z106" s="2" t="s">
        <v>395</v>
      </c>
      <c r="AA106" s="2" t="s">
        <v>395</v>
      </c>
      <c r="AB106" s="2">
        <v>1</v>
      </c>
      <c r="AC106" s="2" t="s">
        <v>397</v>
      </c>
      <c r="AD106" s="2" t="s">
        <v>922</v>
      </c>
      <c r="AE106" s="2" t="s">
        <v>399</v>
      </c>
      <c r="AF106" s="2" t="s">
        <v>198</v>
      </c>
      <c r="AG106" s="2"/>
    </row>
    <row r="107" spans="1:33" ht="56">
      <c r="A107" s="2" t="s">
        <v>1036</v>
      </c>
      <c r="B107" s="2" t="s">
        <v>193</v>
      </c>
      <c r="C107" s="2">
        <v>2021</v>
      </c>
      <c r="D107" s="2" t="s">
        <v>94</v>
      </c>
      <c r="E107" s="3" t="b">
        <v>1</v>
      </c>
      <c r="F107" s="2" t="s">
        <v>103</v>
      </c>
      <c r="G107" s="2" t="s">
        <v>889</v>
      </c>
      <c r="H107" s="2" t="s">
        <v>98</v>
      </c>
      <c r="I107" s="2" t="s">
        <v>938</v>
      </c>
      <c r="J107" s="2" t="s">
        <v>926</v>
      </c>
      <c r="K107" s="2" t="s">
        <v>927</v>
      </c>
      <c r="L107" s="2" t="s">
        <v>410</v>
      </c>
      <c r="M107" s="2" t="s">
        <v>1037</v>
      </c>
      <c r="N107" s="2" t="s">
        <v>1038</v>
      </c>
      <c r="O107" s="2" t="s">
        <v>999</v>
      </c>
      <c r="P107" s="2"/>
      <c r="Q107" s="2" t="s">
        <v>931</v>
      </c>
      <c r="R107" s="2" t="s">
        <v>1013</v>
      </c>
      <c r="S107" s="2"/>
      <c r="T107" s="2" t="s">
        <v>1039</v>
      </c>
      <c r="U107" s="2" t="s">
        <v>1040</v>
      </c>
      <c r="V107" s="2" t="s">
        <v>1041</v>
      </c>
      <c r="W107" s="2">
        <v>2.1099999999999999E-3</v>
      </c>
      <c r="X107" s="2" t="s">
        <v>395</v>
      </c>
      <c r="Y107" s="2" t="s">
        <v>945</v>
      </c>
      <c r="Z107" s="2" t="s">
        <v>395</v>
      </c>
      <c r="AA107" s="2" t="s">
        <v>395</v>
      </c>
      <c r="AB107" s="2">
        <v>1</v>
      </c>
      <c r="AC107" s="2" t="s">
        <v>397</v>
      </c>
      <c r="AD107" s="2" t="s">
        <v>922</v>
      </c>
      <c r="AE107" s="2" t="s">
        <v>399</v>
      </c>
      <c r="AF107" s="2" t="s">
        <v>198</v>
      </c>
      <c r="AG107" s="2"/>
    </row>
    <row r="108" spans="1:33" ht="56">
      <c r="A108" s="2" t="s">
        <v>1042</v>
      </c>
      <c r="B108" s="2" t="s">
        <v>193</v>
      </c>
      <c r="C108" s="2">
        <v>2021</v>
      </c>
      <c r="D108" s="2" t="s">
        <v>94</v>
      </c>
      <c r="E108" s="3" t="b">
        <v>1</v>
      </c>
      <c r="F108" s="2" t="s">
        <v>103</v>
      </c>
      <c r="G108" s="2" t="s">
        <v>889</v>
      </c>
      <c r="H108" s="2" t="s">
        <v>98</v>
      </c>
      <c r="I108" s="2" t="s">
        <v>938</v>
      </c>
      <c r="J108" s="2" t="s">
        <v>926</v>
      </c>
      <c r="K108" s="2" t="s">
        <v>927</v>
      </c>
      <c r="L108" s="2" t="s">
        <v>410</v>
      </c>
      <c r="M108" s="2" t="s">
        <v>1043</v>
      </c>
      <c r="N108" s="2" t="s">
        <v>1044</v>
      </c>
      <c r="O108" s="2" t="s">
        <v>1026</v>
      </c>
      <c r="P108" s="2"/>
      <c r="Q108" s="2" t="s">
        <v>931</v>
      </c>
      <c r="R108" s="2" t="s">
        <v>1013</v>
      </c>
      <c r="S108" s="2"/>
      <c r="T108" s="2" t="s">
        <v>1039</v>
      </c>
      <c r="U108" s="2" t="s">
        <v>1045</v>
      </c>
      <c r="V108" s="2" t="s">
        <v>1046</v>
      </c>
      <c r="W108" s="2">
        <v>2.1900000000000001E-3</v>
      </c>
      <c r="X108" s="2" t="s">
        <v>395</v>
      </c>
      <c r="Y108" s="2" t="s">
        <v>945</v>
      </c>
      <c r="Z108" s="2" t="s">
        <v>395</v>
      </c>
      <c r="AA108" s="2" t="s">
        <v>395</v>
      </c>
      <c r="AB108" s="2">
        <v>1</v>
      </c>
      <c r="AC108" s="2" t="s">
        <v>397</v>
      </c>
      <c r="AD108" s="2" t="s">
        <v>922</v>
      </c>
      <c r="AE108" s="2" t="s">
        <v>399</v>
      </c>
      <c r="AF108" s="2" t="s">
        <v>198</v>
      </c>
      <c r="AG108" s="2"/>
    </row>
    <row r="109" spans="1:33" ht="42">
      <c r="A109" s="2" t="s">
        <v>1047</v>
      </c>
      <c r="B109" s="2" t="s">
        <v>193</v>
      </c>
      <c r="C109" s="2">
        <v>2021</v>
      </c>
      <c r="D109" s="2" t="s">
        <v>94</v>
      </c>
      <c r="E109" s="3" t="b">
        <v>1</v>
      </c>
      <c r="F109" s="2" t="s">
        <v>103</v>
      </c>
      <c r="G109" s="2" t="s">
        <v>889</v>
      </c>
      <c r="H109" s="2" t="s">
        <v>98</v>
      </c>
      <c r="I109" s="2" t="s">
        <v>938</v>
      </c>
      <c r="J109" s="2" t="s">
        <v>926</v>
      </c>
      <c r="K109" s="2" t="s">
        <v>927</v>
      </c>
      <c r="L109" s="2" t="s">
        <v>410</v>
      </c>
      <c r="M109" s="2" t="s">
        <v>1048</v>
      </c>
      <c r="N109" s="2" t="s">
        <v>1049</v>
      </c>
      <c r="O109" s="2" t="s">
        <v>1032</v>
      </c>
      <c r="P109" s="2"/>
      <c r="Q109" s="2" t="s">
        <v>931</v>
      </c>
      <c r="R109" s="2" t="s">
        <v>1013</v>
      </c>
      <c r="S109" s="2"/>
      <c r="T109" s="2" t="s">
        <v>1033</v>
      </c>
      <c r="U109" s="2" t="s">
        <v>1050</v>
      </c>
      <c r="V109" s="2" t="s">
        <v>1051</v>
      </c>
      <c r="W109" s="2">
        <v>3.7200000000000002E-3</v>
      </c>
      <c r="X109" s="2" t="s">
        <v>395</v>
      </c>
      <c r="Y109" s="2" t="s">
        <v>945</v>
      </c>
      <c r="Z109" s="2" t="s">
        <v>395</v>
      </c>
      <c r="AA109" s="2" t="s">
        <v>395</v>
      </c>
      <c r="AB109" s="2">
        <v>1</v>
      </c>
      <c r="AC109" s="2" t="s">
        <v>397</v>
      </c>
      <c r="AD109" s="2" t="s">
        <v>922</v>
      </c>
      <c r="AE109" s="2" t="s">
        <v>399</v>
      </c>
      <c r="AF109" s="2" t="s">
        <v>198</v>
      </c>
      <c r="AG109" s="2"/>
    </row>
    <row r="110" spans="1:33" ht="56">
      <c r="A110" s="2" t="s">
        <v>1052</v>
      </c>
      <c r="B110" s="2" t="s">
        <v>193</v>
      </c>
      <c r="C110" s="2">
        <v>2021</v>
      </c>
      <c r="D110" s="2" t="s">
        <v>94</v>
      </c>
      <c r="E110" s="3" t="b">
        <v>1</v>
      </c>
      <c r="F110" s="2" t="s">
        <v>103</v>
      </c>
      <c r="G110" s="2" t="s">
        <v>889</v>
      </c>
      <c r="H110" s="2" t="s">
        <v>98</v>
      </c>
      <c r="I110" s="2" t="s">
        <v>938</v>
      </c>
      <c r="J110" s="2" t="s">
        <v>926</v>
      </c>
      <c r="K110" s="2" t="s">
        <v>927</v>
      </c>
      <c r="L110" s="2" t="s">
        <v>410</v>
      </c>
      <c r="M110" s="2" t="s">
        <v>1053</v>
      </c>
      <c r="N110" s="2" t="s">
        <v>1054</v>
      </c>
      <c r="O110" s="2" t="s">
        <v>999</v>
      </c>
      <c r="P110" s="2"/>
      <c r="Q110" s="2" t="s">
        <v>931</v>
      </c>
      <c r="R110" s="2" t="s">
        <v>1013</v>
      </c>
      <c r="S110" s="2"/>
      <c r="T110" s="2" t="s">
        <v>1039</v>
      </c>
      <c r="U110" s="2" t="s">
        <v>1055</v>
      </c>
      <c r="V110" s="2" t="s">
        <v>1056</v>
      </c>
      <c r="W110" s="2">
        <v>4.0099999999999997E-3</v>
      </c>
      <c r="X110" s="2" t="s">
        <v>395</v>
      </c>
      <c r="Y110" s="2" t="s">
        <v>945</v>
      </c>
      <c r="Z110" s="2" t="s">
        <v>395</v>
      </c>
      <c r="AA110" s="2" t="s">
        <v>395</v>
      </c>
      <c r="AB110" s="2">
        <v>1</v>
      </c>
      <c r="AC110" s="2" t="s">
        <v>397</v>
      </c>
      <c r="AD110" s="2" t="s">
        <v>922</v>
      </c>
      <c r="AE110" s="2" t="s">
        <v>399</v>
      </c>
      <c r="AF110" s="2" t="s">
        <v>198</v>
      </c>
      <c r="AG110" s="2"/>
    </row>
    <row r="111" spans="1:33" ht="28">
      <c r="A111" s="2" t="s">
        <v>1057</v>
      </c>
      <c r="B111" s="2" t="s">
        <v>193</v>
      </c>
      <c r="C111" s="2">
        <v>2021</v>
      </c>
      <c r="D111" s="2" t="s">
        <v>94</v>
      </c>
      <c r="E111" s="3" t="b">
        <v>1</v>
      </c>
      <c r="F111" s="2" t="s">
        <v>103</v>
      </c>
      <c r="G111" s="2" t="s">
        <v>889</v>
      </c>
      <c r="H111" s="2" t="s">
        <v>98</v>
      </c>
      <c r="I111" s="2" t="s">
        <v>938</v>
      </c>
      <c r="J111" s="2" t="s">
        <v>926</v>
      </c>
      <c r="K111" s="2" t="s">
        <v>927</v>
      </c>
      <c r="L111" s="2" t="s">
        <v>410</v>
      </c>
      <c r="M111" s="2" t="s">
        <v>1058</v>
      </c>
      <c r="N111" s="2" t="s">
        <v>1059</v>
      </c>
      <c r="O111" s="2" t="s">
        <v>1060</v>
      </c>
      <c r="P111" s="2"/>
      <c r="Q111" s="2" t="s">
        <v>931</v>
      </c>
      <c r="R111" s="2" t="s">
        <v>1013</v>
      </c>
      <c r="S111" s="2"/>
      <c r="T111" s="2" t="s">
        <v>1014</v>
      </c>
      <c r="U111" s="2" t="s">
        <v>1061</v>
      </c>
      <c r="V111" s="2" t="s">
        <v>1062</v>
      </c>
      <c r="W111" s="2">
        <v>5.2399999999999999E-3</v>
      </c>
      <c r="X111" s="2" t="s">
        <v>395</v>
      </c>
      <c r="Y111" s="2" t="s">
        <v>945</v>
      </c>
      <c r="Z111" s="2" t="s">
        <v>395</v>
      </c>
      <c r="AA111" s="2" t="s">
        <v>395</v>
      </c>
      <c r="AB111" s="2">
        <v>1</v>
      </c>
      <c r="AC111" s="2" t="s">
        <v>397</v>
      </c>
      <c r="AD111" s="2" t="s">
        <v>922</v>
      </c>
      <c r="AE111" s="2" t="s">
        <v>399</v>
      </c>
      <c r="AF111" s="2" t="s">
        <v>198</v>
      </c>
      <c r="AG111" s="2"/>
    </row>
    <row r="112" spans="1:33" ht="42">
      <c r="A112" s="2" t="s">
        <v>1063</v>
      </c>
      <c r="B112" s="2" t="s">
        <v>193</v>
      </c>
      <c r="C112" s="2">
        <v>2021</v>
      </c>
      <c r="D112" s="2" t="s">
        <v>94</v>
      </c>
      <c r="E112" s="3" t="b">
        <v>1</v>
      </c>
      <c r="F112" s="2" t="s">
        <v>103</v>
      </c>
      <c r="G112" s="2" t="s">
        <v>889</v>
      </c>
      <c r="H112" s="2" t="s">
        <v>98</v>
      </c>
      <c r="I112" s="2" t="s">
        <v>938</v>
      </c>
      <c r="J112" s="2" t="s">
        <v>926</v>
      </c>
      <c r="K112" s="2" t="s">
        <v>927</v>
      </c>
      <c r="L112" s="2" t="s">
        <v>410</v>
      </c>
      <c r="M112" s="2" t="s">
        <v>1064</v>
      </c>
      <c r="N112" s="2" t="s">
        <v>1065</v>
      </c>
      <c r="O112" s="2" t="s">
        <v>1066</v>
      </c>
      <c r="P112" s="2"/>
      <c r="Q112" s="2" t="s">
        <v>931</v>
      </c>
      <c r="R112" s="2" t="s">
        <v>1013</v>
      </c>
      <c r="S112" s="2"/>
      <c r="T112" s="2" t="s">
        <v>1039</v>
      </c>
      <c r="U112" s="2" t="s">
        <v>1067</v>
      </c>
      <c r="V112" s="2" t="s">
        <v>1068</v>
      </c>
      <c r="W112" s="2">
        <v>6.8999999999999999E-3</v>
      </c>
      <c r="X112" s="2" t="s">
        <v>395</v>
      </c>
      <c r="Y112" s="2" t="s">
        <v>945</v>
      </c>
      <c r="Z112" s="2" t="s">
        <v>395</v>
      </c>
      <c r="AA112" s="2" t="s">
        <v>395</v>
      </c>
      <c r="AB112" s="2">
        <v>1</v>
      </c>
      <c r="AC112" s="2" t="s">
        <v>397</v>
      </c>
      <c r="AD112" s="2" t="s">
        <v>922</v>
      </c>
      <c r="AE112" s="2" t="s">
        <v>399</v>
      </c>
      <c r="AF112" s="2" t="s">
        <v>198</v>
      </c>
      <c r="AG112" s="2"/>
    </row>
    <row r="113" spans="1:33" ht="28">
      <c r="A113" s="2" t="s">
        <v>1069</v>
      </c>
      <c r="B113" s="2" t="s">
        <v>193</v>
      </c>
      <c r="C113" s="2">
        <v>2021</v>
      </c>
      <c r="D113" s="2" t="s">
        <v>94</v>
      </c>
      <c r="E113" s="3" t="b">
        <v>1</v>
      </c>
      <c r="F113" s="2" t="s">
        <v>103</v>
      </c>
      <c r="G113" s="2" t="s">
        <v>889</v>
      </c>
      <c r="H113" s="2" t="s">
        <v>98</v>
      </c>
      <c r="I113" s="2" t="s">
        <v>938</v>
      </c>
      <c r="J113" s="2" t="s">
        <v>926</v>
      </c>
      <c r="K113" s="2" t="s">
        <v>927</v>
      </c>
      <c r="L113" s="2" t="s">
        <v>410</v>
      </c>
      <c r="M113" s="2" t="s">
        <v>1070</v>
      </c>
      <c r="N113" s="2" t="s">
        <v>1071</v>
      </c>
      <c r="O113" s="2" t="s">
        <v>1026</v>
      </c>
      <c r="P113" s="2"/>
      <c r="Q113" s="2" t="s">
        <v>931</v>
      </c>
      <c r="R113" s="2" t="s">
        <v>1013</v>
      </c>
      <c r="S113" s="2"/>
      <c r="T113" s="2" t="s">
        <v>1039</v>
      </c>
      <c r="U113" s="2" t="s">
        <v>1072</v>
      </c>
      <c r="V113" s="2" t="s">
        <v>1073</v>
      </c>
      <c r="W113" s="2">
        <v>1.111E-2</v>
      </c>
      <c r="X113" s="2" t="s">
        <v>395</v>
      </c>
      <c r="Y113" s="2" t="s">
        <v>945</v>
      </c>
      <c r="Z113" s="2" t="s">
        <v>395</v>
      </c>
      <c r="AA113" s="2" t="s">
        <v>395</v>
      </c>
      <c r="AB113" s="2">
        <v>1</v>
      </c>
      <c r="AC113" s="2" t="s">
        <v>397</v>
      </c>
      <c r="AD113" s="2" t="s">
        <v>922</v>
      </c>
      <c r="AE113" s="2" t="s">
        <v>399</v>
      </c>
      <c r="AF113" s="2" t="s">
        <v>198</v>
      </c>
      <c r="AG113" s="2"/>
    </row>
    <row r="114" spans="1:33" ht="42">
      <c r="A114" s="2" t="s">
        <v>1074</v>
      </c>
      <c r="B114" s="2" t="s">
        <v>193</v>
      </c>
      <c r="C114" s="2">
        <v>2021</v>
      </c>
      <c r="D114" s="2" t="s">
        <v>94</v>
      </c>
      <c r="E114" s="3" t="b">
        <v>1</v>
      </c>
      <c r="F114" s="2" t="s">
        <v>103</v>
      </c>
      <c r="G114" s="2" t="s">
        <v>889</v>
      </c>
      <c r="H114" s="2" t="s">
        <v>98</v>
      </c>
      <c r="I114" s="2" t="s">
        <v>938</v>
      </c>
      <c r="J114" s="2" t="s">
        <v>926</v>
      </c>
      <c r="K114" s="2" t="s">
        <v>927</v>
      </c>
      <c r="L114" s="2" t="s">
        <v>410</v>
      </c>
      <c r="M114" s="2" t="s">
        <v>1075</v>
      </c>
      <c r="N114" s="2" t="s">
        <v>1076</v>
      </c>
      <c r="O114" s="2" t="s">
        <v>962</v>
      </c>
      <c r="P114" s="2"/>
      <c r="Q114" s="2" t="s">
        <v>931</v>
      </c>
      <c r="R114" s="2" t="s">
        <v>1013</v>
      </c>
      <c r="S114" s="2"/>
      <c r="T114" s="2" t="s">
        <v>1039</v>
      </c>
      <c r="U114" s="2" t="s">
        <v>1077</v>
      </c>
      <c r="V114" s="2" t="s">
        <v>1078</v>
      </c>
      <c r="W114" s="2">
        <v>1.2789999999999999E-2</v>
      </c>
      <c r="X114" s="2" t="s">
        <v>395</v>
      </c>
      <c r="Y114" s="2" t="s">
        <v>945</v>
      </c>
      <c r="Z114" s="2" t="s">
        <v>395</v>
      </c>
      <c r="AA114" s="2" t="s">
        <v>395</v>
      </c>
      <c r="AB114" s="2">
        <v>1</v>
      </c>
      <c r="AC114" s="2" t="s">
        <v>397</v>
      </c>
      <c r="AD114" s="2" t="s">
        <v>922</v>
      </c>
      <c r="AE114" s="2" t="s">
        <v>399</v>
      </c>
      <c r="AF114" s="2" t="s">
        <v>198</v>
      </c>
      <c r="AG114" s="2"/>
    </row>
    <row r="115" spans="1:33" ht="28">
      <c r="A115" s="2" t="s">
        <v>1079</v>
      </c>
      <c r="B115" s="2" t="s">
        <v>193</v>
      </c>
      <c r="C115" s="2">
        <v>2021</v>
      </c>
      <c r="D115" s="2" t="s">
        <v>94</v>
      </c>
      <c r="E115" s="3" t="b">
        <v>1</v>
      </c>
      <c r="F115" s="2" t="s">
        <v>103</v>
      </c>
      <c r="G115" s="2" t="s">
        <v>889</v>
      </c>
      <c r="H115" s="2" t="s">
        <v>98</v>
      </c>
      <c r="I115" s="2" t="s">
        <v>938</v>
      </c>
      <c r="J115" s="2" t="s">
        <v>926</v>
      </c>
      <c r="K115" s="2" t="s">
        <v>927</v>
      </c>
      <c r="L115" s="2" t="s">
        <v>410</v>
      </c>
      <c r="M115" s="2" t="s">
        <v>1080</v>
      </c>
      <c r="N115" s="2" t="s">
        <v>1081</v>
      </c>
      <c r="O115" s="2" t="s">
        <v>1082</v>
      </c>
      <c r="P115" s="2"/>
      <c r="Q115" s="2" t="s">
        <v>931</v>
      </c>
      <c r="R115" s="2" t="s">
        <v>1013</v>
      </c>
      <c r="S115" s="2"/>
      <c r="T115" s="2" t="s">
        <v>1039</v>
      </c>
      <c r="U115" s="2" t="s">
        <v>1083</v>
      </c>
      <c r="V115" s="2" t="s">
        <v>1084</v>
      </c>
      <c r="W115" s="2">
        <v>1.3440000000000001E-2</v>
      </c>
      <c r="X115" s="2" t="s">
        <v>395</v>
      </c>
      <c r="Y115" s="2" t="s">
        <v>945</v>
      </c>
      <c r="Z115" s="2" t="s">
        <v>395</v>
      </c>
      <c r="AA115" s="2" t="s">
        <v>395</v>
      </c>
      <c r="AB115" s="2">
        <v>1</v>
      </c>
      <c r="AC115" s="2" t="s">
        <v>397</v>
      </c>
      <c r="AD115" s="2" t="s">
        <v>922</v>
      </c>
      <c r="AE115" s="2" t="s">
        <v>399</v>
      </c>
      <c r="AF115" s="2" t="s">
        <v>198</v>
      </c>
      <c r="AG115" s="2"/>
    </row>
    <row r="116" spans="1:33" ht="28">
      <c r="A116" s="2" t="s">
        <v>1085</v>
      </c>
      <c r="B116" s="2" t="s">
        <v>193</v>
      </c>
      <c r="C116" s="2">
        <v>2021</v>
      </c>
      <c r="D116" s="2" t="s">
        <v>94</v>
      </c>
      <c r="E116" s="3" t="b">
        <v>1</v>
      </c>
      <c r="F116" s="2" t="s">
        <v>103</v>
      </c>
      <c r="G116" s="2" t="s">
        <v>889</v>
      </c>
      <c r="H116" s="2" t="s">
        <v>98</v>
      </c>
      <c r="I116" s="2" t="s">
        <v>938</v>
      </c>
      <c r="J116" s="2" t="s">
        <v>926</v>
      </c>
      <c r="K116" s="2" t="s">
        <v>927</v>
      </c>
      <c r="L116" s="2" t="s">
        <v>410</v>
      </c>
      <c r="M116" s="2" t="s">
        <v>1086</v>
      </c>
      <c r="N116" s="2" t="s">
        <v>1087</v>
      </c>
      <c r="O116" s="2" t="s">
        <v>1088</v>
      </c>
      <c r="P116" s="2"/>
      <c r="Q116" s="2" t="s">
        <v>931</v>
      </c>
      <c r="R116" s="2" t="s">
        <v>1013</v>
      </c>
      <c r="S116" s="2"/>
      <c r="T116" s="2" t="s">
        <v>1089</v>
      </c>
      <c r="U116" s="2" t="s">
        <v>1090</v>
      </c>
      <c r="V116" s="2" t="s">
        <v>1091</v>
      </c>
      <c r="W116" s="2">
        <v>1.5440000000000001E-2</v>
      </c>
      <c r="X116" s="2" t="s">
        <v>395</v>
      </c>
      <c r="Y116" s="2" t="s">
        <v>945</v>
      </c>
      <c r="Z116" s="2" t="s">
        <v>395</v>
      </c>
      <c r="AA116" s="2" t="s">
        <v>395</v>
      </c>
      <c r="AB116" s="2">
        <v>1</v>
      </c>
      <c r="AC116" s="2" t="s">
        <v>397</v>
      </c>
      <c r="AD116" s="2" t="s">
        <v>922</v>
      </c>
      <c r="AE116" s="2" t="s">
        <v>399</v>
      </c>
      <c r="AF116" s="2" t="s">
        <v>198</v>
      </c>
      <c r="AG116" s="2"/>
    </row>
    <row r="117" spans="1:33" ht="28">
      <c r="A117" s="2" t="s">
        <v>1092</v>
      </c>
      <c r="B117" s="2" t="s">
        <v>193</v>
      </c>
      <c r="C117" s="2">
        <v>2021</v>
      </c>
      <c r="D117" s="2" t="s">
        <v>94</v>
      </c>
      <c r="E117" s="3" t="b">
        <v>1</v>
      </c>
      <c r="F117" s="2" t="s">
        <v>103</v>
      </c>
      <c r="G117" s="2" t="s">
        <v>889</v>
      </c>
      <c r="H117" s="2" t="s">
        <v>98</v>
      </c>
      <c r="I117" s="2" t="s">
        <v>938</v>
      </c>
      <c r="J117" s="2" t="s">
        <v>926</v>
      </c>
      <c r="K117" s="2" t="s">
        <v>927</v>
      </c>
      <c r="L117" s="2" t="s">
        <v>410</v>
      </c>
      <c r="M117" s="2" t="s">
        <v>1093</v>
      </c>
      <c r="N117" s="2" t="s">
        <v>1094</v>
      </c>
      <c r="O117" s="2" t="s">
        <v>999</v>
      </c>
      <c r="P117" s="2"/>
      <c r="Q117" s="2" t="s">
        <v>931</v>
      </c>
      <c r="R117" s="2" t="s">
        <v>1013</v>
      </c>
      <c r="S117" s="2"/>
      <c r="T117" s="2" t="s">
        <v>1089</v>
      </c>
      <c r="U117" s="2" t="s">
        <v>1095</v>
      </c>
      <c r="V117" s="2" t="s">
        <v>1096</v>
      </c>
      <c r="W117" s="2">
        <v>1.6709999999999999E-2</v>
      </c>
      <c r="X117" s="2" t="s">
        <v>395</v>
      </c>
      <c r="Y117" s="2" t="s">
        <v>945</v>
      </c>
      <c r="Z117" s="2" t="s">
        <v>395</v>
      </c>
      <c r="AA117" s="2" t="s">
        <v>395</v>
      </c>
      <c r="AB117" s="2">
        <v>1</v>
      </c>
      <c r="AC117" s="2" t="s">
        <v>397</v>
      </c>
      <c r="AD117" s="2" t="s">
        <v>922</v>
      </c>
      <c r="AE117" s="2" t="s">
        <v>399</v>
      </c>
      <c r="AF117" s="2" t="s">
        <v>198</v>
      </c>
      <c r="AG117" s="2"/>
    </row>
    <row r="118" spans="1:33" ht="42">
      <c r="A118" s="2" t="s">
        <v>1097</v>
      </c>
      <c r="B118" s="2" t="s">
        <v>193</v>
      </c>
      <c r="C118" s="2">
        <v>2021</v>
      </c>
      <c r="D118" s="2" t="s">
        <v>94</v>
      </c>
      <c r="E118" s="3" t="b">
        <v>1</v>
      </c>
      <c r="F118" s="2" t="s">
        <v>103</v>
      </c>
      <c r="G118" s="2" t="s">
        <v>889</v>
      </c>
      <c r="H118" s="2" t="s">
        <v>98</v>
      </c>
      <c r="I118" s="2" t="s">
        <v>938</v>
      </c>
      <c r="J118" s="2" t="s">
        <v>926</v>
      </c>
      <c r="K118" s="2" t="s">
        <v>927</v>
      </c>
      <c r="L118" s="2" t="s">
        <v>410</v>
      </c>
      <c r="M118" s="2" t="s">
        <v>1098</v>
      </c>
      <c r="N118" s="2" t="s">
        <v>1099</v>
      </c>
      <c r="O118" s="2" t="s">
        <v>999</v>
      </c>
      <c r="P118" s="2"/>
      <c r="Q118" s="2" t="s">
        <v>931</v>
      </c>
      <c r="R118" s="2" t="s">
        <v>1013</v>
      </c>
      <c r="S118" s="2"/>
      <c r="T118" s="2" t="s">
        <v>1089</v>
      </c>
      <c r="U118" s="2" t="s">
        <v>1100</v>
      </c>
      <c r="V118" s="2" t="s">
        <v>1101</v>
      </c>
      <c r="W118" s="2">
        <v>2.989E-2</v>
      </c>
      <c r="X118" s="2" t="s">
        <v>395</v>
      </c>
      <c r="Y118" s="2" t="s">
        <v>945</v>
      </c>
      <c r="Z118" s="2" t="s">
        <v>395</v>
      </c>
      <c r="AA118" s="2" t="s">
        <v>395</v>
      </c>
      <c r="AB118" s="2">
        <v>1</v>
      </c>
      <c r="AC118" s="2" t="s">
        <v>397</v>
      </c>
      <c r="AD118" s="2" t="s">
        <v>922</v>
      </c>
      <c r="AE118" s="2" t="s">
        <v>399</v>
      </c>
      <c r="AF118" s="2" t="s">
        <v>198</v>
      </c>
      <c r="AG118" s="2"/>
    </row>
    <row r="119" spans="1:33" ht="28">
      <c r="A119" s="2" t="s">
        <v>1102</v>
      </c>
      <c r="B119" s="2" t="s">
        <v>193</v>
      </c>
      <c r="C119" s="2">
        <v>2021</v>
      </c>
      <c r="D119" s="2" t="s">
        <v>94</v>
      </c>
      <c r="E119" s="3" t="b">
        <v>1</v>
      </c>
      <c r="F119" s="2" t="s">
        <v>103</v>
      </c>
      <c r="G119" s="2" t="s">
        <v>889</v>
      </c>
      <c r="H119" s="2" t="s">
        <v>98</v>
      </c>
      <c r="I119" s="2" t="s">
        <v>938</v>
      </c>
      <c r="J119" s="2" t="s">
        <v>926</v>
      </c>
      <c r="K119" s="2" t="s">
        <v>927</v>
      </c>
      <c r="L119" s="2" t="s">
        <v>410</v>
      </c>
      <c r="M119" s="2" t="s">
        <v>1103</v>
      </c>
      <c r="N119" s="2" t="s">
        <v>1104</v>
      </c>
      <c r="O119" s="2" t="s">
        <v>1066</v>
      </c>
      <c r="P119" s="2"/>
      <c r="Q119" s="2" t="s">
        <v>931</v>
      </c>
      <c r="R119" s="2" t="s">
        <v>1013</v>
      </c>
      <c r="S119" s="2"/>
      <c r="T119" s="2" t="s">
        <v>1089</v>
      </c>
      <c r="U119" s="2" t="s">
        <v>1105</v>
      </c>
      <c r="V119" s="2" t="s">
        <v>1106</v>
      </c>
      <c r="W119" s="2">
        <v>3.0380000000000001E-2</v>
      </c>
      <c r="X119" s="2" t="s">
        <v>395</v>
      </c>
      <c r="Y119" s="2" t="s">
        <v>945</v>
      </c>
      <c r="Z119" s="2" t="s">
        <v>395</v>
      </c>
      <c r="AA119" s="2" t="s">
        <v>395</v>
      </c>
      <c r="AB119" s="2">
        <v>1</v>
      </c>
      <c r="AC119" s="2" t="s">
        <v>397</v>
      </c>
      <c r="AD119" s="2" t="s">
        <v>922</v>
      </c>
      <c r="AE119" s="2" t="s">
        <v>399</v>
      </c>
      <c r="AF119" s="2" t="s">
        <v>198</v>
      </c>
      <c r="AG119" s="2"/>
    </row>
    <row r="120" spans="1:33" ht="28">
      <c r="A120" s="2" t="s">
        <v>1107</v>
      </c>
      <c r="B120" s="2" t="s">
        <v>193</v>
      </c>
      <c r="C120" s="2">
        <v>2021</v>
      </c>
      <c r="D120" s="2" t="s">
        <v>94</v>
      </c>
      <c r="E120" s="3" t="b">
        <v>1</v>
      </c>
      <c r="F120" s="2" t="s">
        <v>103</v>
      </c>
      <c r="G120" s="2" t="s">
        <v>889</v>
      </c>
      <c r="H120" s="2" t="s">
        <v>98</v>
      </c>
      <c r="I120" s="2" t="s">
        <v>938</v>
      </c>
      <c r="J120" s="2" t="s">
        <v>926</v>
      </c>
      <c r="K120" s="2" t="s">
        <v>927</v>
      </c>
      <c r="L120" s="2" t="s">
        <v>410</v>
      </c>
      <c r="M120" s="2" t="s">
        <v>1108</v>
      </c>
      <c r="N120" s="2" t="s">
        <v>1109</v>
      </c>
      <c r="O120" s="2" t="s">
        <v>1066</v>
      </c>
      <c r="P120" s="2"/>
      <c r="Q120" s="2" t="s">
        <v>931</v>
      </c>
      <c r="R120" s="2" t="s">
        <v>1013</v>
      </c>
      <c r="S120" s="2"/>
      <c r="T120" s="2" t="s">
        <v>1089</v>
      </c>
      <c r="U120" s="2" t="s">
        <v>1110</v>
      </c>
      <c r="V120" s="2" t="s">
        <v>1111</v>
      </c>
      <c r="W120" s="2">
        <v>3.7490000000000002E-2</v>
      </c>
      <c r="X120" s="2" t="s">
        <v>395</v>
      </c>
      <c r="Y120" s="2" t="s">
        <v>945</v>
      </c>
      <c r="Z120" s="2" t="s">
        <v>395</v>
      </c>
      <c r="AA120" s="2" t="s">
        <v>395</v>
      </c>
      <c r="AB120" s="2">
        <v>1</v>
      </c>
      <c r="AC120" s="2" t="s">
        <v>397</v>
      </c>
      <c r="AD120" s="2" t="s">
        <v>922</v>
      </c>
      <c r="AE120" s="2" t="s">
        <v>399</v>
      </c>
      <c r="AF120" s="2" t="s">
        <v>198</v>
      </c>
      <c r="AG120" s="2"/>
    </row>
    <row r="121" spans="1:33" ht="56">
      <c r="A121" s="2" t="s">
        <v>1112</v>
      </c>
      <c r="B121" s="2" t="s">
        <v>193</v>
      </c>
      <c r="C121" s="2">
        <v>2021</v>
      </c>
      <c r="D121" s="2" t="s">
        <v>94</v>
      </c>
      <c r="E121" s="3" t="b">
        <v>1</v>
      </c>
      <c r="F121" s="2" t="s">
        <v>103</v>
      </c>
      <c r="G121" s="2" t="s">
        <v>889</v>
      </c>
      <c r="H121" s="2" t="s">
        <v>98</v>
      </c>
      <c r="I121" s="2" t="s">
        <v>938</v>
      </c>
      <c r="J121" s="2" t="s">
        <v>926</v>
      </c>
      <c r="K121" s="2" t="s">
        <v>927</v>
      </c>
      <c r="L121" s="2" t="s">
        <v>410</v>
      </c>
      <c r="M121" s="2" t="s">
        <v>1113</v>
      </c>
      <c r="N121" s="2" t="s">
        <v>1114</v>
      </c>
      <c r="O121" s="2" t="s">
        <v>999</v>
      </c>
      <c r="P121" s="2"/>
      <c r="Q121" s="2" t="s">
        <v>931</v>
      </c>
      <c r="R121" s="2" t="s">
        <v>1013</v>
      </c>
      <c r="S121" s="2"/>
      <c r="T121" s="2" t="s">
        <v>1089</v>
      </c>
      <c r="U121" s="2" t="s">
        <v>1115</v>
      </c>
      <c r="V121" s="2" t="s">
        <v>1116</v>
      </c>
      <c r="W121" s="2">
        <v>3.9390000000000001E-2</v>
      </c>
      <c r="X121" s="2" t="s">
        <v>395</v>
      </c>
      <c r="Y121" s="2" t="s">
        <v>945</v>
      </c>
      <c r="Z121" s="2" t="s">
        <v>395</v>
      </c>
      <c r="AA121" s="2" t="s">
        <v>395</v>
      </c>
      <c r="AB121" s="2">
        <v>1</v>
      </c>
      <c r="AC121" s="2" t="s">
        <v>397</v>
      </c>
      <c r="AD121" s="2" t="s">
        <v>922</v>
      </c>
      <c r="AE121" s="2" t="s">
        <v>399</v>
      </c>
      <c r="AF121" s="2" t="s">
        <v>198</v>
      </c>
      <c r="AG121" s="2"/>
    </row>
    <row r="122" spans="1:33" ht="28">
      <c r="A122" s="2" t="s">
        <v>1117</v>
      </c>
      <c r="B122" s="2" t="s">
        <v>227</v>
      </c>
      <c r="C122" s="2">
        <v>2013</v>
      </c>
      <c r="D122" s="2" t="s">
        <v>229</v>
      </c>
      <c r="E122" s="3" t="b">
        <v>0</v>
      </c>
      <c r="F122" s="2" t="s">
        <v>237</v>
      </c>
      <c r="G122" s="2" t="s">
        <v>1118</v>
      </c>
      <c r="H122" s="2" t="s">
        <v>232</v>
      </c>
      <c r="I122" s="2" t="s">
        <v>1119</v>
      </c>
      <c r="J122" s="2" t="s">
        <v>1120</v>
      </c>
      <c r="K122" s="2" t="s">
        <v>1121</v>
      </c>
      <c r="L122" s="2" t="s">
        <v>410</v>
      </c>
      <c r="M122" s="2" t="s">
        <v>1122</v>
      </c>
      <c r="N122" s="2" t="s">
        <v>1123</v>
      </c>
      <c r="O122" s="2">
        <v>0.68</v>
      </c>
      <c r="P122" s="2"/>
      <c r="Q122" s="2" t="s">
        <v>1124</v>
      </c>
      <c r="R122" s="2">
        <v>0.2</v>
      </c>
      <c r="S122" s="2"/>
      <c r="T122" s="2"/>
      <c r="U122" s="2"/>
      <c r="V122" s="2"/>
      <c r="W122" s="2"/>
      <c r="X122" s="2" t="s">
        <v>749</v>
      </c>
      <c r="Y122" s="2" t="s">
        <v>1125</v>
      </c>
      <c r="Z122" s="2" t="s">
        <v>107</v>
      </c>
      <c r="AA122" s="2" t="s">
        <v>1126</v>
      </c>
      <c r="AB122" s="2">
        <v>1</v>
      </c>
      <c r="AC122" s="2" t="s">
        <v>397</v>
      </c>
      <c r="AD122" s="2" t="s">
        <v>1127</v>
      </c>
      <c r="AE122" s="2" t="s">
        <v>399</v>
      </c>
      <c r="AF122" s="2" t="s">
        <v>235</v>
      </c>
      <c r="AG122" s="2"/>
    </row>
    <row r="123" spans="1:33" ht="42">
      <c r="A123" s="2" t="s">
        <v>1128</v>
      </c>
      <c r="B123" s="2" t="s">
        <v>227</v>
      </c>
      <c r="C123" s="2">
        <v>2013</v>
      </c>
      <c r="D123" s="2" t="s">
        <v>229</v>
      </c>
      <c r="E123" s="3" t="b">
        <v>0</v>
      </c>
      <c r="F123" s="2" t="s">
        <v>237</v>
      </c>
      <c r="G123" s="2" t="s">
        <v>1118</v>
      </c>
      <c r="H123" s="2" t="s">
        <v>232</v>
      </c>
      <c r="I123" s="2" t="s">
        <v>1129</v>
      </c>
      <c r="J123" s="2" t="s">
        <v>1120</v>
      </c>
      <c r="K123" s="2" t="s">
        <v>1121</v>
      </c>
      <c r="L123" s="2" t="s">
        <v>410</v>
      </c>
      <c r="M123" s="2" t="s">
        <v>1130</v>
      </c>
      <c r="N123" s="2" t="s">
        <v>1131</v>
      </c>
      <c r="O123" s="2">
        <v>0.43</v>
      </c>
      <c r="P123" s="2"/>
      <c r="Q123" s="2" t="s">
        <v>1132</v>
      </c>
      <c r="R123" s="2">
        <v>0.56999999999999995</v>
      </c>
      <c r="S123" s="2"/>
      <c r="T123" s="2"/>
      <c r="U123" s="2"/>
      <c r="V123" s="2"/>
      <c r="W123" s="2"/>
      <c r="X123" s="2" t="s">
        <v>749</v>
      </c>
      <c r="Y123" s="2" t="s">
        <v>1125</v>
      </c>
      <c r="Z123" s="2" t="s">
        <v>107</v>
      </c>
      <c r="AA123" s="2" t="s">
        <v>1133</v>
      </c>
      <c r="AB123" s="2">
        <v>-1</v>
      </c>
      <c r="AC123" s="2" t="s">
        <v>407</v>
      </c>
      <c r="AD123" s="2" t="s">
        <v>1134</v>
      </c>
      <c r="AE123" s="2" t="s">
        <v>399</v>
      </c>
      <c r="AF123" s="2" t="s">
        <v>235</v>
      </c>
      <c r="AG123" s="2"/>
    </row>
    <row r="124" spans="1:33" ht="28">
      <c r="A124" s="2" t="s">
        <v>1135</v>
      </c>
      <c r="B124" s="2" t="s">
        <v>227</v>
      </c>
      <c r="C124" s="2">
        <v>2013</v>
      </c>
      <c r="D124" s="2" t="s">
        <v>229</v>
      </c>
      <c r="E124" s="3" t="b">
        <v>0</v>
      </c>
      <c r="F124" s="2" t="s">
        <v>237</v>
      </c>
      <c r="G124" s="2" t="s">
        <v>1118</v>
      </c>
      <c r="H124" s="2" t="s">
        <v>232</v>
      </c>
      <c r="I124" s="2" t="s">
        <v>1136</v>
      </c>
      <c r="J124" s="2" t="s">
        <v>1120</v>
      </c>
      <c r="K124" s="2" t="s">
        <v>1121</v>
      </c>
      <c r="L124" s="2" t="s">
        <v>410</v>
      </c>
      <c r="M124" s="2" t="s">
        <v>1137</v>
      </c>
      <c r="N124" s="2" t="s">
        <v>1138</v>
      </c>
      <c r="O124" s="2">
        <v>0.06</v>
      </c>
      <c r="P124" s="2"/>
      <c r="Q124" s="2" t="s">
        <v>1139</v>
      </c>
      <c r="R124" s="2">
        <v>0.03</v>
      </c>
      <c r="S124" s="2"/>
      <c r="T124" s="2"/>
      <c r="U124" s="2"/>
      <c r="V124" s="2"/>
      <c r="W124" s="2"/>
      <c r="X124" s="2" t="s">
        <v>749</v>
      </c>
      <c r="Y124" s="2" t="s">
        <v>1125</v>
      </c>
      <c r="Z124" s="2" t="s">
        <v>107</v>
      </c>
      <c r="AA124" s="2" t="s">
        <v>107</v>
      </c>
      <c r="AB124" s="2">
        <v>1</v>
      </c>
      <c r="AC124" s="2" t="s">
        <v>397</v>
      </c>
      <c r="AD124" s="2" t="s">
        <v>1140</v>
      </c>
      <c r="AE124" s="2" t="s">
        <v>399</v>
      </c>
      <c r="AF124" s="2" t="s">
        <v>235</v>
      </c>
      <c r="AG124" s="2"/>
    </row>
    <row r="125" spans="1:33" ht="28">
      <c r="A125" s="2" t="s">
        <v>1141</v>
      </c>
      <c r="B125" s="2" t="s">
        <v>179</v>
      </c>
      <c r="C125" s="2">
        <v>2021</v>
      </c>
      <c r="D125" s="2" t="s">
        <v>126</v>
      </c>
      <c r="E125" s="3" t="b">
        <v>1</v>
      </c>
      <c r="F125" s="2" t="s">
        <v>188</v>
      </c>
      <c r="G125" s="2" t="s">
        <v>1142</v>
      </c>
      <c r="H125" s="2" t="s">
        <v>98</v>
      </c>
      <c r="I125" s="2" t="s">
        <v>1143</v>
      </c>
      <c r="J125" s="2" t="s">
        <v>1144</v>
      </c>
      <c r="K125" s="2" t="s">
        <v>1145</v>
      </c>
      <c r="L125" s="2" t="s">
        <v>410</v>
      </c>
      <c r="M125" s="2" t="s">
        <v>1146</v>
      </c>
      <c r="N125" s="2" t="s">
        <v>1147</v>
      </c>
      <c r="O125" s="2" t="s">
        <v>1148</v>
      </c>
      <c r="P125" s="2"/>
      <c r="Q125" s="2" t="s">
        <v>1149</v>
      </c>
      <c r="R125" s="2" t="s">
        <v>1150</v>
      </c>
      <c r="S125" s="2"/>
      <c r="T125" s="2" t="s">
        <v>1151</v>
      </c>
      <c r="U125" s="2" t="s">
        <v>1152</v>
      </c>
      <c r="V125" s="2" t="s">
        <v>830</v>
      </c>
      <c r="W125" s="2">
        <v>4.9000000000000002E-2</v>
      </c>
      <c r="X125" s="2" t="s">
        <v>395</v>
      </c>
      <c r="Y125" s="2" t="s">
        <v>1153</v>
      </c>
      <c r="Z125" s="2" t="s">
        <v>107</v>
      </c>
      <c r="AA125" s="2" t="s">
        <v>107</v>
      </c>
      <c r="AB125" s="2">
        <v>1</v>
      </c>
      <c r="AC125" s="2" t="s">
        <v>397</v>
      </c>
      <c r="AD125" s="2" t="s">
        <v>1154</v>
      </c>
      <c r="AE125" s="2" t="s">
        <v>399</v>
      </c>
      <c r="AF125" s="2" t="s">
        <v>186</v>
      </c>
      <c r="AG125" s="2"/>
    </row>
    <row r="126" spans="1:33" ht="28">
      <c r="A126" s="2" t="s">
        <v>1155</v>
      </c>
      <c r="B126" s="2" t="s">
        <v>179</v>
      </c>
      <c r="C126" s="2">
        <v>2021</v>
      </c>
      <c r="D126" s="2" t="s">
        <v>126</v>
      </c>
      <c r="E126" s="3" t="b">
        <v>1</v>
      </c>
      <c r="F126" s="2" t="s">
        <v>188</v>
      </c>
      <c r="G126" s="2" t="s">
        <v>1142</v>
      </c>
      <c r="H126" s="2" t="s">
        <v>98</v>
      </c>
      <c r="I126" s="2" t="s">
        <v>1143</v>
      </c>
      <c r="J126" s="2" t="s">
        <v>1144</v>
      </c>
      <c r="K126" s="2" t="s">
        <v>1156</v>
      </c>
      <c r="L126" s="2" t="s">
        <v>410</v>
      </c>
      <c r="M126" s="2" t="s">
        <v>1157</v>
      </c>
      <c r="N126" s="2" t="s">
        <v>1147</v>
      </c>
      <c r="O126" s="2" t="s">
        <v>1158</v>
      </c>
      <c r="P126" s="2"/>
      <c r="Q126" s="2" t="s">
        <v>1149</v>
      </c>
      <c r="R126" s="2" t="s">
        <v>1158</v>
      </c>
      <c r="S126" s="2"/>
      <c r="T126" s="2" t="s">
        <v>1159</v>
      </c>
      <c r="U126" s="2" t="s">
        <v>1160</v>
      </c>
      <c r="V126" s="2" t="s">
        <v>394</v>
      </c>
      <c r="W126" s="2">
        <v>1E-3</v>
      </c>
      <c r="X126" s="2" t="s">
        <v>395</v>
      </c>
      <c r="Y126" s="2" t="s">
        <v>1159</v>
      </c>
      <c r="Z126" s="2" t="s">
        <v>107</v>
      </c>
      <c r="AA126" s="2" t="s">
        <v>107</v>
      </c>
      <c r="AB126" s="2">
        <v>9</v>
      </c>
      <c r="AC126" s="2" t="s">
        <v>751</v>
      </c>
      <c r="AD126" s="2" t="s">
        <v>1161</v>
      </c>
      <c r="AE126" s="2" t="s">
        <v>399</v>
      </c>
      <c r="AF126" s="2" t="s">
        <v>186</v>
      </c>
      <c r="AG126" s="2"/>
    </row>
    <row r="127" spans="1:33" ht="28">
      <c r="A127" s="2" t="s">
        <v>1162</v>
      </c>
      <c r="B127" s="2" t="s">
        <v>179</v>
      </c>
      <c r="C127" s="2">
        <v>2021</v>
      </c>
      <c r="D127" s="2" t="s">
        <v>126</v>
      </c>
      <c r="E127" s="3" t="b">
        <v>1</v>
      </c>
      <c r="F127" s="2" t="s">
        <v>188</v>
      </c>
      <c r="G127" s="2" t="s">
        <v>1142</v>
      </c>
      <c r="H127" s="2" t="s">
        <v>98</v>
      </c>
      <c r="I127" s="2" t="s">
        <v>1143</v>
      </c>
      <c r="J127" s="2" t="s">
        <v>1144</v>
      </c>
      <c r="K127" s="2" t="s">
        <v>1163</v>
      </c>
      <c r="L127" s="2" t="s">
        <v>386</v>
      </c>
      <c r="M127" s="2" t="s">
        <v>1164</v>
      </c>
      <c r="N127" s="2" t="s">
        <v>1147</v>
      </c>
      <c r="O127" s="2" t="s">
        <v>1165</v>
      </c>
      <c r="P127" s="2"/>
      <c r="Q127" s="2" t="s">
        <v>1149</v>
      </c>
      <c r="R127" s="2" t="s">
        <v>1166</v>
      </c>
      <c r="S127" s="2"/>
      <c r="T127" s="2" t="s">
        <v>1167</v>
      </c>
      <c r="U127" s="2" t="s">
        <v>1168</v>
      </c>
      <c r="V127" s="2" t="s">
        <v>830</v>
      </c>
      <c r="W127" s="2">
        <v>4.9000000000000002E-2</v>
      </c>
      <c r="X127" s="2" t="s">
        <v>395</v>
      </c>
      <c r="Y127" s="2" t="s">
        <v>1169</v>
      </c>
      <c r="Z127" s="2" t="s">
        <v>107</v>
      </c>
      <c r="AA127" s="2" t="s">
        <v>107</v>
      </c>
      <c r="AB127" s="2">
        <v>1</v>
      </c>
      <c r="AC127" s="2" t="s">
        <v>397</v>
      </c>
      <c r="AD127" s="2" t="s">
        <v>1170</v>
      </c>
      <c r="AE127" s="2" t="s">
        <v>399</v>
      </c>
      <c r="AF127" s="2" t="s">
        <v>186</v>
      </c>
      <c r="AG127" s="2"/>
    </row>
    <row r="128" spans="1:33" ht="28">
      <c r="A128" s="2" t="s">
        <v>1171</v>
      </c>
      <c r="B128" s="2" t="s">
        <v>179</v>
      </c>
      <c r="C128" s="2">
        <v>2021</v>
      </c>
      <c r="D128" s="2" t="s">
        <v>126</v>
      </c>
      <c r="E128" s="3" t="b">
        <v>1</v>
      </c>
      <c r="F128" s="2" t="s">
        <v>188</v>
      </c>
      <c r="G128" s="2" t="s">
        <v>1142</v>
      </c>
      <c r="H128" s="2" t="s">
        <v>98</v>
      </c>
      <c r="I128" s="2" t="s">
        <v>1143</v>
      </c>
      <c r="J128" s="2" t="s">
        <v>1144</v>
      </c>
      <c r="K128" s="2" t="s">
        <v>1172</v>
      </c>
      <c r="L128" s="2" t="s">
        <v>386</v>
      </c>
      <c r="M128" s="2" t="s">
        <v>1164</v>
      </c>
      <c r="N128" s="2" t="s">
        <v>1147</v>
      </c>
      <c r="O128" s="2" t="s">
        <v>1165</v>
      </c>
      <c r="P128" s="2"/>
      <c r="Q128" s="2" t="s">
        <v>1149</v>
      </c>
      <c r="R128" s="2" t="s">
        <v>1166</v>
      </c>
      <c r="S128" s="2"/>
      <c r="T128" s="2" t="s">
        <v>1167</v>
      </c>
      <c r="U128" s="2" t="s">
        <v>1168</v>
      </c>
      <c r="V128" s="2" t="s">
        <v>830</v>
      </c>
      <c r="W128" s="2">
        <v>4.9000000000000002E-2</v>
      </c>
      <c r="X128" s="2" t="s">
        <v>395</v>
      </c>
      <c r="Y128" s="2" t="s">
        <v>1169</v>
      </c>
      <c r="Z128" s="2" t="s">
        <v>107</v>
      </c>
      <c r="AA128" s="2" t="s">
        <v>107</v>
      </c>
      <c r="AB128" s="2">
        <v>1</v>
      </c>
      <c r="AC128" s="2" t="s">
        <v>397</v>
      </c>
      <c r="AD128" s="2" t="s">
        <v>1170</v>
      </c>
      <c r="AE128" s="2" t="s">
        <v>399</v>
      </c>
      <c r="AF128" s="2" t="s">
        <v>186</v>
      </c>
      <c r="AG128" s="2"/>
    </row>
    <row r="129" spans="1:33" ht="28">
      <c r="A129" s="2" t="s">
        <v>1173</v>
      </c>
      <c r="B129" s="2" t="s">
        <v>179</v>
      </c>
      <c r="C129" s="2">
        <v>2021</v>
      </c>
      <c r="D129" s="2" t="s">
        <v>126</v>
      </c>
      <c r="E129" s="3" t="b">
        <v>1</v>
      </c>
      <c r="F129" s="2" t="s">
        <v>188</v>
      </c>
      <c r="G129" s="2" t="s">
        <v>1142</v>
      </c>
      <c r="H129" s="2" t="s">
        <v>98</v>
      </c>
      <c r="I129" s="2" t="s">
        <v>1143</v>
      </c>
      <c r="J129" s="2" t="s">
        <v>1144</v>
      </c>
      <c r="K129" s="2" t="s">
        <v>1174</v>
      </c>
      <c r="L129" s="2" t="s">
        <v>386</v>
      </c>
      <c r="M129" s="2" t="s">
        <v>1164</v>
      </c>
      <c r="N129" s="2" t="s">
        <v>1147</v>
      </c>
      <c r="O129" s="2" t="s">
        <v>1165</v>
      </c>
      <c r="P129" s="2"/>
      <c r="Q129" s="2" t="s">
        <v>1149</v>
      </c>
      <c r="R129" s="2" t="s">
        <v>1166</v>
      </c>
      <c r="S129" s="2"/>
      <c r="T129" s="2" t="s">
        <v>1167</v>
      </c>
      <c r="U129" s="2" t="s">
        <v>1168</v>
      </c>
      <c r="V129" s="2" t="s">
        <v>830</v>
      </c>
      <c r="W129" s="2">
        <v>4.9000000000000002E-2</v>
      </c>
      <c r="X129" s="2" t="s">
        <v>395</v>
      </c>
      <c r="Y129" s="2" t="s">
        <v>1169</v>
      </c>
      <c r="Z129" s="2" t="s">
        <v>107</v>
      </c>
      <c r="AA129" s="2" t="s">
        <v>107</v>
      </c>
      <c r="AB129" s="2">
        <v>1</v>
      </c>
      <c r="AC129" s="2" t="s">
        <v>397</v>
      </c>
      <c r="AD129" s="2" t="s">
        <v>1170</v>
      </c>
      <c r="AE129" s="2" t="s">
        <v>399</v>
      </c>
      <c r="AF129" s="2" t="s">
        <v>186</v>
      </c>
      <c r="AG129" s="2"/>
    </row>
    <row r="130" spans="1:33" ht="28">
      <c r="A130" s="2" t="s">
        <v>1175</v>
      </c>
      <c r="B130" s="2" t="s">
        <v>179</v>
      </c>
      <c r="C130" s="2">
        <v>2021</v>
      </c>
      <c r="D130" s="2" t="s">
        <v>126</v>
      </c>
      <c r="E130" s="3" t="b">
        <v>1</v>
      </c>
      <c r="F130" s="2" t="s">
        <v>188</v>
      </c>
      <c r="G130" s="2" t="s">
        <v>1142</v>
      </c>
      <c r="H130" s="2" t="s">
        <v>98</v>
      </c>
      <c r="I130" s="2" t="s">
        <v>1143</v>
      </c>
      <c r="J130" s="2" t="s">
        <v>1144</v>
      </c>
      <c r="K130" s="2" t="s">
        <v>1176</v>
      </c>
      <c r="L130" s="2" t="s">
        <v>386</v>
      </c>
      <c r="M130" s="2" t="s">
        <v>1164</v>
      </c>
      <c r="N130" s="2" t="s">
        <v>1149</v>
      </c>
      <c r="O130" s="2" t="s">
        <v>1165</v>
      </c>
      <c r="P130" s="2"/>
      <c r="Q130" s="2" t="s">
        <v>1147</v>
      </c>
      <c r="R130" s="2" t="s">
        <v>1166</v>
      </c>
      <c r="S130" s="2"/>
      <c r="T130" s="2" t="s">
        <v>1167</v>
      </c>
      <c r="U130" s="2" t="s">
        <v>1168</v>
      </c>
      <c r="V130" s="2" t="s">
        <v>830</v>
      </c>
      <c r="W130" s="2">
        <v>4.9000000000000002E-2</v>
      </c>
      <c r="X130" s="2" t="s">
        <v>395</v>
      </c>
      <c r="Y130" s="2" t="s">
        <v>1169</v>
      </c>
      <c r="Z130" s="2" t="s">
        <v>107</v>
      </c>
      <c r="AA130" s="2" t="s">
        <v>107</v>
      </c>
      <c r="AB130" s="2">
        <v>1</v>
      </c>
      <c r="AC130" s="2" t="s">
        <v>397</v>
      </c>
      <c r="AD130" s="2" t="s">
        <v>1177</v>
      </c>
      <c r="AE130" s="2" t="s">
        <v>399</v>
      </c>
      <c r="AF130" s="2" t="s">
        <v>186</v>
      </c>
      <c r="AG130" s="2"/>
    </row>
    <row r="131" spans="1:33" ht="28">
      <c r="A131" s="2" t="s">
        <v>1178</v>
      </c>
      <c r="B131" s="2" t="s">
        <v>179</v>
      </c>
      <c r="C131" s="2">
        <v>2021</v>
      </c>
      <c r="D131" s="2" t="s">
        <v>126</v>
      </c>
      <c r="E131" s="3" t="b">
        <v>1</v>
      </c>
      <c r="F131" s="2" t="s">
        <v>188</v>
      </c>
      <c r="G131" s="2" t="s">
        <v>1142</v>
      </c>
      <c r="H131" s="2" t="s">
        <v>98</v>
      </c>
      <c r="I131" s="2" t="s">
        <v>1143</v>
      </c>
      <c r="J131" s="2" t="s">
        <v>1144</v>
      </c>
      <c r="K131" s="2" t="s">
        <v>1179</v>
      </c>
      <c r="L131" s="2" t="s">
        <v>386</v>
      </c>
      <c r="M131" s="2" t="s">
        <v>1164</v>
      </c>
      <c r="N131" s="2" t="s">
        <v>1149</v>
      </c>
      <c r="O131" s="2" t="s">
        <v>1165</v>
      </c>
      <c r="P131" s="2"/>
      <c r="Q131" s="2" t="s">
        <v>1147</v>
      </c>
      <c r="R131" s="2" t="s">
        <v>1166</v>
      </c>
      <c r="S131" s="2"/>
      <c r="T131" s="2" t="s">
        <v>1167</v>
      </c>
      <c r="U131" s="2" t="s">
        <v>1168</v>
      </c>
      <c r="V131" s="2" t="s">
        <v>830</v>
      </c>
      <c r="W131" s="2">
        <v>4.9000000000000002E-2</v>
      </c>
      <c r="X131" s="2" t="s">
        <v>395</v>
      </c>
      <c r="Y131" s="2" t="s">
        <v>1169</v>
      </c>
      <c r="Z131" s="2" t="s">
        <v>107</v>
      </c>
      <c r="AA131" s="2" t="s">
        <v>107</v>
      </c>
      <c r="AB131" s="2">
        <v>1</v>
      </c>
      <c r="AC131" s="2" t="s">
        <v>397</v>
      </c>
      <c r="AD131" s="2" t="s">
        <v>1177</v>
      </c>
      <c r="AE131" s="2" t="s">
        <v>399</v>
      </c>
      <c r="AF131" s="2" t="s">
        <v>186</v>
      </c>
      <c r="AG131" s="2"/>
    </row>
    <row r="132" spans="1:33" ht="28">
      <c r="A132" s="2" t="s">
        <v>1180</v>
      </c>
      <c r="B132" s="2" t="s">
        <v>179</v>
      </c>
      <c r="C132" s="2">
        <v>2021</v>
      </c>
      <c r="D132" s="2" t="s">
        <v>126</v>
      </c>
      <c r="E132" s="3" t="b">
        <v>1</v>
      </c>
      <c r="F132" s="2" t="s">
        <v>188</v>
      </c>
      <c r="G132" s="2" t="s">
        <v>1142</v>
      </c>
      <c r="H132" s="2" t="s">
        <v>98</v>
      </c>
      <c r="I132" s="2" t="s">
        <v>1143</v>
      </c>
      <c r="J132" s="2" t="s">
        <v>1144</v>
      </c>
      <c r="K132" s="2" t="s">
        <v>1181</v>
      </c>
      <c r="L132" s="2" t="s">
        <v>410</v>
      </c>
      <c r="M132" s="2" t="s">
        <v>1182</v>
      </c>
      <c r="N132" s="2" t="s">
        <v>1147</v>
      </c>
      <c r="O132" s="2" t="s">
        <v>1183</v>
      </c>
      <c r="P132" s="2"/>
      <c r="Q132" s="2" t="s">
        <v>1149</v>
      </c>
      <c r="R132" s="2" t="s">
        <v>1184</v>
      </c>
      <c r="S132" s="2"/>
      <c r="T132" s="2" t="s">
        <v>1185</v>
      </c>
      <c r="U132" s="2" t="s">
        <v>1152</v>
      </c>
      <c r="V132" s="2" t="s">
        <v>830</v>
      </c>
      <c r="W132" s="2">
        <v>4.9000000000000002E-2</v>
      </c>
      <c r="X132" s="2" t="s">
        <v>395</v>
      </c>
      <c r="Y132" s="2" t="s">
        <v>1186</v>
      </c>
      <c r="Z132" s="2" t="s">
        <v>107</v>
      </c>
      <c r="AA132" s="2" t="s">
        <v>107</v>
      </c>
      <c r="AB132" s="2">
        <v>1</v>
      </c>
      <c r="AC132" s="2" t="s">
        <v>397</v>
      </c>
      <c r="AD132" s="2" t="s">
        <v>1187</v>
      </c>
      <c r="AE132" s="2" t="s">
        <v>399</v>
      </c>
      <c r="AF132" s="2" t="s">
        <v>186</v>
      </c>
      <c r="AG132" s="2"/>
    </row>
    <row r="133" spans="1:33" ht="28">
      <c r="A133" s="2" t="s">
        <v>1188</v>
      </c>
      <c r="B133" s="2" t="s">
        <v>179</v>
      </c>
      <c r="C133" s="2">
        <v>2021</v>
      </c>
      <c r="D133" s="2" t="s">
        <v>126</v>
      </c>
      <c r="E133" s="3" t="b">
        <v>1</v>
      </c>
      <c r="F133" s="2" t="s">
        <v>188</v>
      </c>
      <c r="G133" s="2" t="s">
        <v>1142</v>
      </c>
      <c r="H133" s="2" t="s">
        <v>98</v>
      </c>
      <c r="I133" s="2" t="s">
        <v>1143</v>
      </c>
      <c r="J133" s="2" t="s">
        <v>1144</v>
      </c>
      <c r="K133" s="2" t="s">
        <v>1189</v>
      </c>
      <c r="L133" s="2" t="s">
        <v>1190</v>
      </c>
      <c r="M133" s="2" t="s">
        <v>1191</v>
      </c>
      <c r="N133" s="2"/>
      <c r="O133" s="2"/>
      <c r="P133" s="2"/>
      <c r="Q133" s="2"/>
      <c r="R133" s="2" t="s">
        <v>1192</v>
      </c>
      <c r="S133" s="2"/>
      <c r="T133" s="2" t="s">
        <v>1193</v>
      </c>
      <c r="U133" s="2"/>
      <c r="V133" s="2"/>
      <c r="W133" s="2"/>
      <c r="X133" s="2" t="s">
        <v>749</v>
      </c>
      <c r="Y133" s="2" t="s">
        <v>1194</v>
      </c>
      <c r="Z133" s="2" t="s">
        <v>107</v>
      </c>
      <c r="AA133" s="2" t="s">
        <v>107</v>
      </c>
      <c r="AB133" s="2">
        <v>9</v>
      </c>
      <c r="AC133" s="2" t="s">
        <v>751</v>
      </c>
      <c r="AD133" s="2" t="s">
        <v>1195</v>
      </c>
      <c r="AE133" s="2" t="s">
        <v>399</v>
      </c>
      <c r="AF133" s="2" t="s">
        <v>186</v>
      </c>
      <c r="AG133" s="2"/>
    </row>
    <row r="134" spans="1:33" ht="28">
      <c r="A134" s="2" t="s">
        <v>1196</v>
      </c>
      <c r="B134" s="2" t="s">
        <v>204</v>
      </c>
      <c r="C134" s="2">
        <v>2021</v>
      </c>
      <c r="D134" s="2" t="s">
        <v>206</v>
      </c>
      <c r="E134" s="3" t="b">
        <v>1</v>
      </c>
      <c r="F134" s="2" t="s">
        <v>120</v>
      </c>
      <c r="G134" s="2" t="s">
        <v>1197</v>
      </c>
      <c r="H134" s="2" t="s">
        <v>98</v>
      </c>
      <c r="I134" s="2" t="s">
        <v>1198</v>
      </c>
      <c r="J134" s="2" t="s">
        <v>1199</v>
      </c>
      <c r="K134" s="2" t="s">
        <v>1200</v>
      </c>
      <c r="L134" s="2" t="s">
        <v>1201</v>
      </c>
      <c r="M134" s="2" t="s">
        <v>1202</v>
      </c>
      <c r="N134" s="2" t="s">
        <v>1203</v>
      </c>
      <c r="O134" s="2"/>
      <c r="P134" s="2" t="s">
        <v>693</v>
      </c>
      <c r="Q134" s="2" t="s">
        <v>1204</v>
      </c>
      <c r="R134" s="2" t="s">
        <v>1205</v>
      </c>
      <c r="S134" s="2"/>
      <c r="T134" s="2" t="s">
        <v>1206</v>
      </c>
      <c r="U134" s="2" t="s">
        <v>1207</v>
      </c>
      <c r="V134" s="2" t="s">
        <v>1208</v>
      </c>
      <c r="W134" s="2">
        <v>1E-4</v>
      </c>
      <c r="X134" s="2" t="s">
        <v>395</v>
      </c>
      <c r="Y134" s="2" t="s">
        <v>1209</v>
      </c>
      <c r="Z134" s="2" t="s">
        <v>1210</v>
      </c>
      <c r="AA134" s="2" t="s">
        <v>1211</v>
      </c>
      <c r="AB134" s="2">
        <v>1</v>
      </c>
      <c r="AC134" s="2" t="s">
        <v>397</v>
      </c>
      <c r="AD134" s="2" t="s">
        <v>1212</v>
      </c>
      <c r="AE134" s="2" t="s">
        <v>399</v>
      </c>
      <c r="AF134" s="2" t="s">
        <v>211</v>
      </c>
      <c r="AG134" s="2"/>
    </row>
    <row r="135" spans="1:33" ht="28">
      <c r="A135" s="2" t="s">
        <v>1213</v>
      </c>
      <c r="B135" s="2" t="s">
        <v>204</v>
      </c>
      <c r="C135" s="2">
        <v>2021</v>
      </c>
      <c r="D135" s="2" t="s">
        <v>206</v>
      </c>
      <c r="E135" s="3" t="b">
        <v>1</v>
      </c>
      <c r="F135" s="2" t="s">
        <v>120</v>
      </c>
      <c r="G135" s="2" t="s">
        <v>1197</v>
      </c>
      <c r="H135" s="2" t="s">
        <v>98</v>
      </c>
      <c r="I135" s="2" t="s">
        <v>1214</v>
      </c>
      <c r="J135" s="2" t="s">
        <v>1215</v>
      </c>
      <c r="K135" s="2" t="s">
        <v>1216</v>
      </c>
      <c r="L135" s="2" t="s">
        <v>1201</v>
      </c>
      <c r="M135" s="2" t="s">
        <v>1217</v>
      </c>
      <c r="N135" s="2" t="s">
        <v>1218</v>
      </c>
      <c r="O135" s="2" t="s">
        <v>1219</v>
      </c>
      <c r="P135" s="2"/>
      <c r="Q135" s="2" t="s">
        <v>1220</v>
      </c>
      <c r="R135" s="2">
        <v>0</v>
      </c>
      <c r="S135" s="2"/>
      <c r="T135" s="2" t="s">
        <v>1221</v>
      </c>
      <c r="U135" s="2" t="s">
        <v>1222</v>
      </c>
      <c r="V135" s="2" t="s">
        <v>1208</v>
      </c>
      <c r="W135" s="2">
        <v>1E-4</v>
      </c>
      <c r="X135" s="2" t="s">
        <v>395</v>
      </c>
      <c r="Y135" s="2" t="s">
        <v>1223</v>
      </c>
      <c r="Z135" s="2" t="s">
        <v>1224</v>
      </c>
      <c r="AA135" s="2" t="s">
        <v>1225</v>
      </c>
      <c r="AB135" s="2">
        <v>1</v>
      </c>
      <c r="AC135" s="2" t="s">
        <v>397</v>
      </c>
      <c r="AD135" s="2" t="s">
        <v>1226</v>
      </c>
      <c r="AE135" s="2" t="s">
        <v>399</v>
      </c>
      <c r="AF135" s="2" t="s">
        <v>211</v>
      </c>
      <c r="AG135" s="2"/>
    </row>
    <row r="136" spans="1:33">
      <c r="A136" s="2" t="s">
        <v>1227</v>
      </c>
      <c r="B136" s="2" t="s">
        <v>204</v>
      </c>
      <c r="C136" s="2">
        <v>2021</v>
      </c>
      <c r="D136" s="2" t="s">
        <v>206</v>
      </c>
      <c r="E136" s="3" t="b">
        <v>1</v>
      </c>
      <c r="F136" s="2" t="s">
        <v>120</v>
      </c>
      <c r="G136" s="2" t="s">
        <v>1197</v>
      </c>
      <c r="H136" s="2" t="s">
        <v>98</v>
      </c>
      <c r="I136" s="2" t="s">
        <v>1228</v>
      </c>
      <c r="J136" s="2" t="s">
        <v>1199</v>
      </c>
      <c r="K136" s="2" t="s">
        <v>1229</v>
      </c>
      <c r="L136" s="2" t="s">
        <v>1201</v>
      </c>
      <c r="M136" s="2" t="s">
        <v>1230</v>
      </c>
      <c r="N136" s="2" t="s">
        <v>1231</v>
      </c>
      <c r="O136" s="2" t="s">
        <v>749</v>
      </c>
      <c r="P136" s="2"/>
      <c r="Q136" s="2" t="s">
        <v>1204</v>
      </c>
      <c r="R136" s="2" t="s">
        <v>1232</v>
      </c>
      <c r="S136" s="2"/>
      <c r="T136" s="2" t="s">
        <v>1233</v>
      </c>
      <c r="U136" s="2" t="s">
        <v>1234</v>
      </c>
      <c r="V136" s="2"/>
      <c r="W136" s="2"/>
      <c r="X136" s="2" t="s">
        <v>749</v>
      </c>
      <c r="Y136" s="2" t="s">
        <v>1235</v>
      </c>
      <c r="Z136" s="2" t="s">
        <v>1236</v>
      </c>
      <c r="AA136" s="2" t="s">
        <v>1237</v>
      </c>
      <c r="AB136" s="2">
        <v>1</v>
      </c>
      <c r="AC136" s="2" t="s">
        <v>397</v>
      </c>
      <c r="AD136" s="2" t="s">
        <v>1238</v>
      </c>
      <c r="AE136" s="2" t="s">
        <v>399</v>
      </c>
      <c r="AF136" s="2" t="s">
        <v>211</v>
      </c>
      <c r="AG136" s="2"/>
    </row>
    <row r="137" spans="1:33">
      <c r="A137" s="2" t="s">
        <v>1239</v>
      </c>
      <c r="B137" s="2" t="s">
        <v>204</v>
      </c>
      <c r="C137" s="2">
        <v>2021</v>
      </c>
      <c r="D137" s="2" t="s">
        <v>206</v>
      </c>
      <c r="E137" s="3" t="b">
        <v>1</v>
      </c>
      <c r="F137" s="2" t="s">
        <v>120</v>
      </c>
      <c r="G137" s="2" t="s">
        <v>1197</v>
      </c>
      <c r="H137" s="2" t="s">
        <v>98</v>
      </c>
      <c r="I137" s="2" t="s">
        <v>1228</v>
      </c>
      <c r="J137" s="2" t="s">
        <v>1199</v>
      </c>
      <c r="K137" s="2" t="s">
        <v>1229</v>
      </c>
      <c r="L137" s="2" t="s">
        <v>1201</v>
      </c>
      <c r="M137" s="2" t="s">
        <v>1240</v>
      </c>
      <c r="N137" s="2" t="s">
        <v>1231</v>
      </c>
      <c r="O137" s="2" t="s">
        <v>749</v>
      </c>
      <c r="P137" s="2"/>
      <c r="Q137" s="2" t="s">
        <v>1204</v>
      </c>
      <c r="R137" s="2" t="s">
        <v>1241</v>
      </c>
      <c r="S137" s="2"/>
      <c r="T137" s="2" t="s">
        <v>1242</v>
      </c>
      <c r="U137" s="2" t="s">
        <v>1243</v>
      </c>
      <c r="V137" s="2"/>
      <c r="W137" s="2"/>
      <c r="X137" s="2" t="s">
        <v>749</v>
      </c>
      <c r="Y137" s="2" t="s">
        <v>1235</v>
      </c>
      <c r="Z137" s="2" t="s">
        <v>1236</v>
      </c>
      <c r="AA137" s="2" t="s">
        <v>1237</v>
      </c>
      <c r="AB137" s="2">
        <v>1</v>
      </c>
      <c r="AC137" s="2" t="s">
        <v>397</v>
      </c>
      <c r="AD137" s="2" t="s">
        <v>1244</v>
      </c>
      <c r="AE137" s="2" t="s">
        <v>399</v>
      </c>
      <c r="AF137" s="2" t="s">
        <v>211</v>
      </c>
      <c r="AG137" s="2"/>
    </row>
    <row r="138" spans="1:33" ht="28">
      <c r="A138" s="2" t="s">
        <v>1245</v>
      </c>
      <c r="B138" s="2" t="s">
        <v>204</v>
      </c>
      <c r="C138" s="2">
        <v>2021</v>
      </c>
      <c r="D138" s="2" t="s">
        <v>206</v>
      </c>
      <c r="E138" s="3" t="b">
        <v>1</v>
      </c>
      <c r="F138" s="2" t="s">
        <v>120</v>
      </c>
      <c r="G138" s="2" t="s">
        <v>1197</v>
      </c>
      <c r="H138" s="2" t="s">
        <v>98</v>
      </c>
      <c r="I138" s="2" t="s">
        <v>1246</v>
      </c>
      <c r="J138" s="2" t="s">
        <v>1247</v>
      </c>
      <c r="K138" s="2" t="s">
        <v>1216</v>
      </c>
      <c r="L138" s="2" t="s">
        <v>580</v>
      </c>
      <c r="M138" s="2" t="s">
        <v>1248</v>
      </c>
      <c r="N138" s="2" t="s">
        <v>1220</v>
      </c>
      <c r="O138" s="2" t="s">
        <v>1249</v>
      </c>
      <c r="P138" s="2"/>
      <c r="Q138" s="2" t="s">
        <v>1250</v>
      </c>
      <c r="R138" s="2" t="s">
        <v>1251</v>
      </c>
      <c r="S138" s="2"/>
      <c r="T138" s="2" t="s">
        <v>1252</v>
      </c>
      <c r="U138" s="2" t="s">
        <v>1253</v>
      </c>
      <c r="V138" s="2" t="s">
        <v>1254</v>
      </c>
      <c r="W138" s="2">
        <v>4.3999999999999997E-2</v>
      </c>
      <c r="X138" s="2" t="s">
        <v>395</v>
      </c>
      <c r="Y138" s="2" t="s">
        <v>1255</v>
      </c>
      <c r="Z138" s="2" t="s">
        <v>107</v>
      </c>
      <c r="AA138" s="2" t="s">
        <v>107</v>
      </c>
      <c r="AB138" s="2">
        <v>1</v>
      </c>
      <c r="AC138" s="2" t="s">
        <v>397</v>
      </c>
      <c r="AD138" s="2" t="s">
        <v>1256</v>
      </c>
      <c r="AE138" s="2" t="s">
        <v>399</v>
      </c>
      <c r="AF138" s="2" t="s">
        <v>211</v>
      </c>
      <c r="AG138" s="2"/>
    </row>
    <row r="139" spans="1:33" ht="28">
      <c r="A139" s="2" t="s">
        <v>1257</v>
      </c>
      <c r="B139" s="2" t="s">
        <v>169</v>
      </c>
      <c r="C139" s="2">
        <v>2019</v>
      </c>
      <c r="D139" s="2" t="s">
        <v>94</v>
      </c>
      <c r="E139" s="3" t="b">
        <v>1</v>
      </c>
      <c r="F139" s="2" t="s">
        <v>120</v>
      </c>
      <c r="G139" s="2" t="s">
        <v>174</v>
      </c>
      <c r="H139" s="2" t="s">
        <v>98</v>
      </c>
      <c r="I139" s="2" t="s">
        <v>1258</v>
      </c>
      <c r="J139" s="2" t="s">
        <v>1259</v>
      </c>
      <c r="K139" s="2" t="s">
        <v>1260</v>
      </c>
      <c r="L139" s="2" t="s">
        <v>443</v>
      </c>
      <c r="M139" s="2" t="s">
        <v>1261</v>
      </c>
      <c r="N139" s="2" t="s">
        <v>1262</v>
      </c>
      <c r="O139" s="2" t="s">
        <v>1148</v>
      </c>
      <c r="P139" s="2"/>
      <c r="Q139" s="2" t="s">
        <v>1263</v>
      </c>
      <c r="R139" s="2" t="s">
        <v>1150</v>
      </c>
      <c r="S139" s="2"/>
      <c r="T139" s="2" t="s">
        <v>749</v>
      </c>
      <c r="U139" s="2" t="s">
        <v>749</v>
      </c>
      <c r="V139" s="2" t="s">
        <v>422</v>
      </c>
      <c r="W139" s="2">
        <v>1.4E-2</v>
      </c>
      <c r="X139" s="2" t="s">
        <v>395</v>
      </c>
      <c r="Y139" s="2" t="s">
        <v>1264</v>
      </c>
      <c r="Z139" s="2" t="s">
        <v>1265</v>
      </c>
      <c r="AA139" s="2" t="s">
        <v>1266</v>
      </c>
      <c r="AB139" s="2">
        <v>-1</v>
      </c>
      <c r="AC139" s="2" t="s">
        <v>407</v>
      </c>
      <c r="AD139" s="2" t="s">
        <v>1267</v>
      </c>
      <c r="AE139" s="2" t="s">
        <v>399</v>
      </c>
      <c r="AF139" s="2" t="s">
        <v>175</v>
      </c>
      <c r="AG139" s="2"/>
    </row>
    <row r="140" spans="1:33">
      <c r="A140" s="2" t="s">
        <v>1268</v>
      </c>
      <c r="B140" s="2" t="s">
        <v>169</v>
      </c>
      <c r="C140" s="2">
        <v>2019</v>
      </c>
      <c r="D140" s="2" t="s">
        <v>94</v>
      </c>
      <c r="E140" s="3" t="b">
        <v>1</v>
      </c>
      <c r="F140" s="2" t="s">
        <v>120</v>
      </c>
      <c r="G140" s="2" t="s">
        <v>174</v>
      </c>
      <c r="H140" s="2" t="s">
        <v>98</v>
      </c>
      <c r="I140" s="2" t="s">
        <v>1269</v>
      </c>
      <c r="J140" s="2" t="s">
        <v>1270</v>
      </c>
      <c r="K140" s="2" t="s">
        <v>1271</v>
      </c>
      <c r="L140" s="2" t="s">
        <v>775</v>
      </c>
      <c r="M140" s="2" t="s">
        <v>1272</v>
      </c>
      <c r="N140" s="2" t="s">
        <v>1262</v>
      </c>
      <c r="O140" s="2" t="s">
        <v>1273</v>
      </c>
      <c r="P140" s="2"/>
      <c r="Q140" s="2" t="s">
        <v>1274</v>
      </c>
      <c r="R140" s="2" t="s">
        <v>1275</v>
      </c>
      <c r="S140" s="2"/>
      <c r="T140" s="2" t="s">
        <v>1276</v>
      </c>
      <c r="U140" s="2" t="s">
        <v>1253</v>
      </c>
      <c r="V140" s="2" t="s">
        <v>768</v>
      </c>
      <c r="W140" s="2">
        <v>2.7E-2</v>
      </c>
      <c r="X140" s="2" t="s">
        <v>395</v>
      </c>
      <c r="Y140" s="2" t="s">
        <v>1159</v>
      </c>
      <c r="Z140" s="2" t="s">
        <v>1277</v>
      </c>
      <c r="AA140" s="2" t="s">
        <v>1278</v>
      </c>
      <c r="AB140" s="2">
        <v>2</v>
      </c>
      <c r="AC140" s="2" t="s">
        <v>1279</v>
      </c>
      <c r="AD140" s="2" t="s">
        <v>1280</v>
      </c>
      <c r="AE140" s="2" t="s">
        <v>399</v>
      </c>
      <c r="AF140" s="2" t="s">
        <v>175</v>
      </c>
      <c r="AG140" s="2"/>
    </row>
    <row r="141" spans="1:33">
      <c r="A141" s="2" t="s">
        <v>1281</v>
      </c>
      <c r="B141" s="2" t="s">
        <v>169</v>
      </c>
      <c r="C141" s="2">
        <v>2019</v>
      </c>
      <c r="D141" s="2" t="s">
        <v>94</v>
      </c>
      <c r="E141" s="3" t="b">
        <v>1</v>
      </c>
      <c r="F141" s="2" t="s">
        <v>120</v>
      </c>
      <c r="G141" s="2" t="s">
        <v>174</v>
      </c>
      <c r="H141" s="2" t="s">
        <v>98</v>
      </c>
      <c r="I141" s="2" t="s">
        <v>1258</v>
      </c>
      <c r="J141" s="2" t="s">
        <v>1282</v>
      </c>
      <c r="K141" s="2" t="s">
        <v>1283</v>
      </c>
      <c r="L141" s="2" t="s">
        <v>1190</v>
      </c>
      <c r="M141" s="2" t="s">
        <v>1284</v>
      </c>
      <c r="N141" s="2" t="s">
        <v>1263</v>
      </c>
      <c r="O141" s="2" t="s">
        <v>1285</v>
      </c>
      <c r="P141" s="2"/>
      <c r="Q141" s="2" t="s">
        <v>1262</v>
      </c>
      <c r="R141" s="2" t="s">
        <v>1285</v>
      </c>
      <c r="S141" s="2"/>
      <c r="T141" s="2" t="s">
        <v>1286</v>
      </c>
      <c r="U141" s="2" t="s">
        <v>749</v>
      </c>
      <c r="V141" s="2"/>
      <c r="W141" s="2"/>
      <c r="X141" s="2" t="s">
        <v>749</v>
      </c>
      <c r="Y141" s="2" t="s">
        <v>1287</v>
      </c>
      <c r="Z141" s="2" t="s">
        <v>1288</v>
      </c>
      <c r="AA141" s="2" t="s">
        <v>1289</v>
      </c>
      <c r="AB141" s="2">
        <v>9</v>
      </c>
      <c r="AC141" s="2" t="s">
        <v>751</v>
      </c>
      <c r="AD141" s="2" t="s">
        <v>1290</v>
      </c>
      <c r="AE141" s="2" t="s">
        <v>399</v>
      </c>
      <c r="AF141" s="2" t="s">
        <v>175</v>
      </c>
      <c r="AG141" s="2"/>
    </row>
    <row r="142" spans="1:33" ht="28">
      <c r="A142" s="2" t="s">
        <v>1291</v>
      </c>
      <c r="B142" s="2" t="s">
        <v>216</v>
      </c>
      <c r="C142" s="2">
        <v>2023</v>
      </c>
      <c r="D142" s="2" t="s">
        <v>206</v>
      </c>
      <c r="E142" s="3" t="b">
        <v>1</v>
      </c>
      <c r="F142" s="2" t="s">
        <v>149</v>
      </c>
      <c r="G142" s="2" t="s">
        <v>221</v>
      </c>
      <c r="H142" s="2" t="s">
        <v>98</v>
      </c>
      <c r="I142" s="2" t="s">
        <v>1292</v>
      </c>
      <c r="J142" s="2" t="s">
        <v>1293</v>
      </c>
      <c r="K142" s="2" t="s">
        <v>1294</v>
      </c>
      <c r="L142" s="2" t="s">
        <v>443</v>
      </c>
      <c r="M142" s="2" t="s">
        <v>1295</v>
      </c>
      <c r="N142" s="2" t="s">
        <v>1296</v>
      </c>
      <c r="O142" s="2" t="s">
        <v>1297</v>
      </c>
      <c r="P142" s="2"/>
      <c r="Q142" s="2" t="s">
        <v>1298</v>
      </c>
      <c r="R142" s="2" t="s">
        <v>1299</v>
      </c>
      <c r="S142" s="2"/>
      <c r="T142" s="2" t="s">
        <v>749</v>
      </c>
      <c r="U142" s="2"/>
      <c r="V142" s="2" t="s">
        <v>805</v>
      </c>
      <c r="W142" s="2">
        <v>2.5999999999999999E-2</v>
      </c>
      <c r="X142" s="2" t="s">
        <v>395</v>
      </c>
      <c r="Y142" s="2" t="s">
        <v>1300</v>
      </c>
      <c r="Z142" s="2" t="s">
        <v>107</v>
      </c>
      <c r="AA142" s="2" t="s">
        <v>1301</v>
      </c>
      <c r="AB142" s="2">
        <v>9</v>
      </c>
      <c r="AC142" s="2" t="s">
        <v>751</v>
      </c>
      <c r="AD142" s="2" t="s">
        <v>1302</v>
      </c>
      <c r="AE142" s="2" t="s">
        <v>399</v>
      </c>
      <c r="AF142" s="2" t="s">
        <v>222</v>
      </c>
      <c r="AG142" s="2"/>
    </row>
    <row r="143" spans="1:33" ht="28">
      <c r="A143" s="2" t="s">
        <v>1303</v>
      </c>
      <c r="B143" s="2" t="s">
        <v>216</v>
      </c>
      <c r="C143" s="2">
        <v>2023</v>
      </c>
      <c r="D143" s="2" t="s">
        <v>206</v>
      </c>
      <c r="E143" s="3" t="b">
        <v>1</v>
      </c>
      <c r="F143" s="2" t="s">
        <v>149</v>
      </c>
      <c r="G143" s="2" t="s">
        <v>221</v>
      </c>
      <c r="H143" s="2" t="s">
        <v>98</v>
      </c>
      <c r="I143" s="2" t="s">
        <v>1292</v>
      </c>
      <c r="J143" s="2" t="s">
        <v>775</v>
      </c>
      <c r="K143" s="2" t="s">
        <v>1294</v>
      </c>
      <c r="L143" s="2" t="s">
        <v>775</v>
      </c>
      <c r="M143" s="2" t="s">
        <v>1304</v>
      </c>
      <c r="N143" s="2" t="s">
        <v>1296</v>
      </c>
      <c r="O143" s="2" t="s">
        <v>1305</v>
      </c>
      <c r="P143" s="2"/>
      <c r="Q143" s="2" t="s">
        <v>1298</v>
      </c>
      <c r="R143" s="2" t="s">
        <v>1305</v>
      </c>
      <c r="S143" s="2"/>
      <c r="T143" s="2" t="s">
        <v>1306</v>
      </c>
      <c r="U143" s="2" t="s">
        <v>1253</v>
      </c>
      <c r="V143" s="2" t="s">
        <v>394</v>
      </c>
      <c r="W143" s="2">
        <v>1E-3</v>
      </c>
      <c r="X143" s="2" t="s">
        <v>395</v>
      </c>
      <c r="Y143" s="2" t="s">
        <v>1159</v>
      </c>
      <c r="Z143" s="2" t="s">
        <v>107</v>
      </c>
      <c r="AA143" s="2" t="s">
        <v>1307</v>
      </c>
      <c r="AB143" s="2">
        <v>2</v>
      </c>
      <c r="AC143" s="2" t="s">
        <v>1279</v>
      </c>
      <c r="AD143" s="2" t="s">
        <v>1308</v>
      </c>
      <c r="AE143" s="2" t="s">
        <v>399</v>
      </c>
      <c r="AF143" s="2" t="s">
        <v>222</v>
      </c>
      <c r="AG143" s="2"/>
    </row>
    <row r="144" spans="1:33" ht="28">
      <c r="A144" s="2" t="s">
        <v>1309</v>
      </c>
      <c r="B144" s="2" t="s">
        <v>216</v>
      </c>
      <c r="C144" s="2">
        <v>2023</v>
      </c>
      <c r="D144" s="2" t="s">
        <v>206</v>
      </c>
      <c r="E144" s="3" t="b">
        <v>1</v>
      </c>
      <c r="F144" s="2" t="s">
        <v>149</v>
      </c>
      <c r="G144" s="2" t="s">
        <v>221</v>
      </c>
      <c r="H144" s="2" t="s">
        <v>98</v>
      </c>
      <c r="I144" s="2" t="s">
        <v>1292</v>
      </c>
      <c r="J144" s="2" t="s">
        <v>1310</v>
      </c>
      <c r="K144" s="2" t="s">
        <v>1294</v>
      </c>
      <c r="L144" s="2" t="s">
        <v>386</v>
      </c>
      <c r="M144" s="2" t="s">
        <v>1311</v>
      </c>
      <c r="N144" s="2" t="s">
        <v>1296</v>
      </c>
      <c r="O144" s="2" t="s">
        <v>1312</v>
      </c>
      <c r="P144" s="2"/>
      <c r="Q144" s="2" t="s">
        <v>1298</v>
      </c>
      <c r="R144" s="2" t="s">
        <v>1313</v>
      </c>
      <c r="S144" s="2"/>
      <c r="T144" s="2" t="s">
        <v>749</v>
      </c>
      <c r="U144" s="2" t="s">
        <v>749</v>
      </c>
      <c r="V144" s="2" t="s">
        <v>830</v>
      </c>
      <c r="W144" s="2">
        <v>4.9000000000000002E-2</v>
      </c>
      <c r="X144" s="2" t="s">
        <v>395</v>
      </c>
      <c r="Y144" s="2" t="s">
        <v>1314</v>
      </c>
      <c r="Z144" s="2" t="s">
        <v>1315</v>
      </c>
      <c r="AA144" s="2" t="s">
        <v>1316</v>
      </c>
      <c r="AB144" s="2">
        <v>9</v>
      </c>
      <c r="AC144" s="2" t="s">
        <v>751</v>
      </c>
      <c r="AD144" s="2" t="s">
        <v>1317</v>
      </c>
      <c r="AE144" s="2" t="s">
        <v>833</v>
      </c>
      <c r="AF144" s="2" t="s">
        <v>222</v>
      </c>
      <c r="AG144" s="2"/>
    </row>
    <row r="145" spans="1:33" ht="28">
      <c r="A145" s="2" t="s">
        <v>1318</v>
      </c>
      <c r="B145" s="2" t="s">
        <v>216</v>
      </c>
      <c r="C145" s="2">
        <v>2023</v>
      </c>
      <c r="D145" s="2" t="s">
        <v>206</v>
      </c>
      <c r="E145" s="3" t="b">
        <v>1</v>
      </c>
      <c r="F145" s="2" t="s">
        <v>149</v>
      </c>
      <c r="G145" s="2" t="s">
        <v>221</v>
      </c>
      <c r="H145" s="2" t="s">
        <v>98</v>
      </c>
      <c r="I145" s="2" t="s">
        <v>1292</v>
      </c>
      <c r="J145" s="2" t="s">
        <v>1319</v>
      </c>
      <c r="K145" s="2" t="s">
        <v>1294</v>
      </c>
      <c r="L145" s="2" t="s">
        <v>691</v>
      </c>
      <c r="M145" s="2" t="s">
        <v>1320</v>
      </c>
      <c r="N145" s="2" t="s">
        <v>1296</v>
      </c>
      <c r="O145" s="2" t="s">
        <v>1321</v>
      </c>
      <c r="P145" s="2"/>
      <c r="Q145" s="2" t="s">
        <v>1298</v>
      </c>
      <c r="R145" s="2" t="s">
        <v>1322</v>
      </c>
      <c r="S145" s="2"/>
      <c r="T145" s="2" t="s">
        <v>749</v>
      </c>
      <c r="U145" s="2" t="s">
        <v>749</v>
      </c>
      <c r="V145" s="2" t="s">
        <v>830</v>
      </c>
      <c r="W145" s="2">
        <v>4.9000000000000002E-2</v>
      </c>
      <c r="X145" s="2" t="s">
        <v>395</v>
      </c>
      <c r="Y145" s="2" t="s">
        <v>1323</v>
      </c>
      <c r="Z145" s="2" t="s">
        <v>107</v>
      </c>
      <c r="AA145" s="2" t="s">
        <v>1324</v>
      </c>
      <c r="AB145" s="2">
        <v>9</v>
      </c>
      <c r="AC145" s="2" t="s">
        <v>751</v>
      </c>
      <c r="AD145" s="2" t="s">
        <v>1325</v>
      </c>
      <c r="AE145" s="2" t="s">
        <v>399</v>
      </c>
      <c r="AF145" s="2" t="s">
        <v>222</v>
      </c>
      <c r="AG145" s="2"/>
    </row>
    <row r="146" spans="1:33" ht="28">
      <c r="A146" s="2" t="s">
        <v>1326</v>
      </c>
      <c r="B146" s="2" t="s">
        <v>139</v>
      </c>
      <c r="C146" s="2">
        <v>2022</v>
      </c>
      <c r="D146" s="2" t="s">
        <v>141</v>
      </c>
      <c r="E146" s="3" t="b">
        <v>1</v>
      </c>
      <c r="F146" s="2" t="s">
        <v>149</v>
      </c>
      <c r="G146" s="2" t="s">
        <v>1327</v>
      </c>
      <c r="H146" s="2" t="s">
        <v>98</v>
      </c>
      <c r="I146" s="2" t="s">
        <v>1328</v>
      </c>
      <c r="J146" s="2" t="s">
        <v>384</v>
      </c>
      <c r="K146" s="2" t="s">
        <v>1327</v>
      </c>
      <c r="L146" s="2" t="s">
        <v>443</v>
      </c>
      <c r="M146" s="2" t="s">
        <v>1329</v>
      </c>
      <c r="N146" s="2" t="s">
        <v>1330</v>
      </c>
      <c r="O146" s="2" t="s">
        <v>1331</v>
      </c>
      <c r="P146" s="2"/>
      <c r="Q146" s="2" t="s">
        <v>1332</v>
      </c>
      <c r="R146" s="2" t="s">
        <v>1148</v>
      </c>
      <c r="S146" s="2"/>
      <c r="T146" s="2"/>
      <c r="U146" s="2" t="s">
        <v>749</v>
      </c>
      <c r="V146" s="2" t="s">
        <v>830</v>
      </c>
      <c r="W146" s="2">
        <v>4.9000000000000002E-2</v>
      </c>
      <c r="X146" s="2" t="s">
        <v>395</v>
      </c>
      <c r="Y146" s="2" t="s">
        <v>1333</v>
      </c>
      <c r="Z146" s="2" t="s">
        <v>107</v>
      </c>
      <c r="AA146" s="2" t="s">
        <v>1334</v>
      </c>
      <c r="AB146" s="2">
        <v>-1</v>
      </c>
      <c r="AC146" s="2" t="s">
        <v>407</v>
      </c>
      <c r="AD146" s="2" t="s">
        <v>1335</v>
      </c>
      <c r="AE146" s="2" t="s">
        <v>399</v>
      </c>
      <c r="AF146" s="2" t="s">
        <v>147</v>
      </c>
      <c r="AG146" s="2"/>
    </row>
    <row r="147" spans="1:33" ht="28">
      <c r="A147" s="2" t="s">
        <v>1336</v>
      </c>
      <c r="B147" s="2" t="s">
        <v>139</v>
      </c>
      <c r="C147" s="2">
        <v>2022</v>
      </c>
      <c r="D147" s="2" t="s">
        <v>141</v>
      </c>
      <c r="E147" s="3" t="b">
        <v>1</v>
      </c>
      <c r="F147" s="2" t="s">
        <v>149</v>
      </c>
      <c r="G147" s="2" t="s">
        <v>1327</v>
      </c>
      <c r="H147" s="2" t="s">
        <v>98</v>
      </c>
      <c r="I147" s="2" t="s">
        <v>1328</v>
      </c>
      <c r="J147" s="2" t="s">
        <v>384</v>
      </c>
      <c r="K147" s="2" t="s">
        <v>1327</v>
      </c>
      <c r="L147" s="2" t="s">
        <v>443</v>
      </c>
      <c r="M147" s="2" t="s">
        <v>1337</v>
      </c>
      <c r="N147" s="2" t="s">
        <v>1330</v>
      </c>
      <c r="O147" s="2" t="s">
        <v>1338</v>
      </c>
      <c r="P147" s="2"/>
      <c r="Q147" s="2" t="s">
        <v>1332</v>
      </c>
      <c r="R147" s="2" t="s">
        <v>1339</v>
      </c>
      <c r="S147" s="2"/>
      <c r="T147" s="2"/>
      <c r="U147" s="2" t="s">
        <v>749</v>
      </c>
      <c r="V147" s="2" t="s">
        <v>830</v>
      </c>
      <c r="W147" s="2">
        <v>4.9000000000000002E-2</v>
      </c>
      <c r="X147" s="2" t="s">
        <v>395</v>
      </c>
      <c r="Y147" s="2" t="s">
        <v>1333</v>
      </c>
      <c r="Z147" s="2" t="s">
        <v>107</v>
      </c>
      <c r="AA147" s="2" t="s">
        <v>395</v>
      </c>
      <c r="AB147" s="2">
        <v>-1</v>
      </c>
      <c r="AC147" s="2" t="s">
        <v>407</v>
      </c>
      <c r="AD147" s="2" t="s">
        <v>1340</v>
      </c>
      <c r="AE147" s="2" t="s">
        <v>399</v>
      </c>
      <c r="AF147" s="2" t="s">
        <v>147</v>
      </c>
      <c r="AG147" s="2"/>
    </row>
    <row r="148" spans="1:33" ht="28">
      <c r="A148" s="2" t="s">
        <v>1341</v>
      </c>
      <c r="B148" s="2" t="s">
        <v>139</v>
      </c>
      <c r="C148" s="2">
        <v>2022</v>
      </c>
      <c r="D148" s="2" t="s">
        <v>141</v>
      </c>
      <c r="E148" s="3" t="b">
        <v>1</v>
      </c>
      <c r="F148" s="2" t="s">
        <v>149</v>
      </c>
      <c r="G148" s="2" t="s">
        <v>1327</v>
      </c>
      <c r="H148" s="2" t="s">
        <v>98</v>
      </c>
      <c r="I148" s="2" t="s">
        <v>1328</v>
      </c>
      <c r="J148" s="2" t="s">
        <v>384</v>
      </c>
      <c r="K148" s="2" t="s">
        <v>1327</v>
      </c>
      <c r="L148" s="2" t="s">
        <v>775</v>
      </c>
      <c r="M148" s="2" t="s">
        <v>1342</v>
      </c>
      <c r="N148" s="2" t="s">
        <v>1330</v>
      </c>
      <c r="O148" s="2" t="s">
        <v>1343</v>
      </c>
      <c r="P148" s="2"/>
      <c r="Q148" s="2" t="s">
        <v>1332</v>
      </c>
      <c r="R148" s="2" t="s">
        <v>1344</v>
      </c>
      <c r="S148" s="2"/>
      <c r="T148" s="2"/>
      <c r="U148" s="2"/>
      <c r="V148" s="2" t="s">
        <v>394</v>
      </c>
      <c r="W148" s="2">
        <v>1E-3</v>
      </c>
      <c r="X148" s="2" t="s">
        <v>395</v>
      </c>
      <c r="Y148" s="2" t="s">
        <v>1159</v>
      </c>
      <c r="Z148" s="2" t="s">
        <v>107</v>
      </c>
      <c r="AA148" s="2" t="s">
        <v>395</v>
      </c>
      <c r="AB148" s="2">
        <v>2</v>
      </c>
      <c r="AC148" s="2" t="s">
        <v>1279</v>
      </c>
      <c r="AD148" s="2" t="s">
        <v>1345</v>
      </c>
      <c r="AE148" s="2" t="s">
        <v>399</v>
      </c>
      <c r="AF148" s="2" t="s">
        <v>147</v>
      </c>
      <c r="AG148" s="2"/>
    </row>
    <row r="149" spans="1:33" ht="28">
      <c r="A149" s="2" t="s">
        <v>1346</v>
      </c>
      <c r="B149" s="2" t="s">
        <v>139</v>
      </c>
      <c r="C149" s="2">
        <v>2022</v>
      </c>
      <c r="D149" s="2" t="s">
        <v>141</v>
      </c>
      <c r="E149" s="3" t="b">
        <v>1</v>
      </c>
      <c r="F149" s="2" t="s">
        <v>149</v>
      </c>
      <c r="G149" s="2" t="s">
        <v>1327</v>
      </c>
      <c r="H149" s="2" t="s">
        <v>98</v>
      </c>
      <c r="I149" s="2" t="s">
        <v>1347</v>
      </c>
      <c r="J149" s="2" t="s">
        <v>1348</v>
      </c>
      <c r="K149" s="2" t="s">
        <v>1349</v>
      </c>
      <c r="L149" s="2" t="s">
        <v>443</v>
      </c>
      <c r="M149" s="2" t="s">
        <v>1350</v>
      </c>
      <c r="N149" s="2" t="s">
        <v>1351</v>
      </c>
      <c r="O149" s="2" t="s">
        <v>1352</v>
      </c>
      <c r="P149" s="2"/>
      <c r="Q149" s="2" t="s">
        <v>1353</v>
      </c>
      <c r="R149" s="2" t="s">
        <v>1354</v>
      </c>
      <c r="S149" s="2"/>
      <c r="T149" s="2" t="s">
        <v>1355</v>
      </c>
      <c r="U149" s="2" t="s">
        <v>749</v>
      </c>
      <c r="V149" s="2" t="s">
        <v>703</v>
      </c>
      <c r="W149" s="2">
        <v>6.0000000000000001E-3</v>
      </c>
      <c r="X149" s="2" t="s">
        <v>395</v>
      </c>
      <c r="Y149" s="2" t="s">
        <v>690</v>
      </c>
      <c r="Z149" s="2" t="s">
        <v>107</v>
      </c>
      <c r="AA149" s="2" t="s">
        <v>107</v>
      </c>
      <c r="AB149" s="2">
        <v>1</v>
      </c>
      <c r="AC149" s="2" t="s">
        <v>397</v>
      </c>
      <c r="AD149" s="2" t="s">
        <v>1356</v>
      </c>
      <c r="AE149" s="2" t="s">
        <v>399</v>
      </c>
      <c r="AF149" s="2" t="s">
        <v>147</v>
      </c>
      <c r="AG149" s="2"/>
    </row>
    <row r="150" spans="1:33" ht="28">
      <c r="A150" s="2" t="s">
        <v>1357</v>
      </c>
      <c r="B150" s="2" t="s">
        <v>139</v>
      </c>
      <c r="C150" s="2">
        <v>2022</v>
      </c>
      <c r="D150" s="2" t="s">
        <v>141</v>
      </c>
      <c r="E150" s="3" t="b">
        <v>1</v>
      </c>
      <c r="F150" s="2" t="s">
        <v>149</v>
      </c>
      <c r="G150" s="2" t="s">
        <v>1327</v>
      </c>
      <c r="H150" s="2" t="s">
        <v>98</v>
      </c>
      <c r="I150" s="2" t="s">
        <v>1347</v>
      </c>
      <c r="J150" s="2" t="s">
        <v>1348</v>
      </c>
      <c r="K150" s="2" t="s">
        <v>1349</v>
      </c>
      <c r="L150" s="2" t="s">
        <v>443</v>
      </c>
      <c r="M150" s="2" t="s">
        <v>1358</v>
      </c>
      <c r="N150" s="2" t="s">
        <v>1351</v>
      </c>
      <c r="O150" s="2" t="s">
        <v>1359</v>
      </c>
      <c r="P150" s="2"/>
      <c r="Q150" s="2" t="s">
        <v>1353</v>
      </c>
      <c r="R150" s="2" t="s">
        <v>1360</v>
      </c>
      <c r="S150" s="2"/>
      <c r="T150" s="2" t="s">
        <v>1361</v>
      </c>
      <c r="U150" s="2" t="s">
        <v>749</v>
      </c>
      <c r="V150" s="2" t="s">
        <v>1362</v>
      </c>
      <c r="W150" s="2">
        <v>8.9999999999999993E-3</v>
      </c>
      <c r="X150" s="2" t="s">
        <v>395</v>
      </c>
      <c r="Y150" s="2" t="s">
        <v>690</v>
      </c>
      <c r="Z150" s="2" t="s">
        <v>107</v>
      </c>
      <c r="AA150" s="2" t="s">
        <v>107</v>
      </c>
      <c r="AB150" s="2">
        <v>9</v>
      </c>
      <c r="AC150" s="2" t="s">
        <v>751</v>
      </c>
      <c r="AD150" s="2" t="s">
        <v>1363</v>
      </c>
      <c r="AE150" s="2" t="s">
        <v>399</v>
      </c>
      <c r="AF150" s="2" t="s">
        <v>147</v>
      </c>
      <c r="AG150" s="2"/>
    </row>
    <row r="151" spans="1:33" ht="28">
      <c r="A151" s="2" t="s">
        <v>1364</v>
      </c>
      <c r="B151" s="2" t="s">
        <v>139</v>
      </c>
      <c r="C151" s="2">
        <v>2022</v>
      </c>
      <c r="D151" s="2" t="s">
        <v>141</v>
      </c>
      <c r="E151" s="3" t="b">
        <v>1</v>
      </c>
      <c r="F151" s="2" t="s">
        <v>149</v>
      </c>
      <c r="G151" s="2" t="s">
        <v>1327</v>
      </c>
      <c r="H151" s="2" t="s">
        <v>98</v>
      </c>
      <c r="I151" s="2" t="s">
        <v>1347</v>
      </c>
      <c r="J151" s="2" t="s">
        <v>1348</v>
      </c>
      <c r="K151" s="2" t="s">
        <v>1365</v>
      </c>
      <c r="L151" s="2" t="s">
        <v>443</v>
      </c>
      <c r="M151" s="2" t="s">
        <v>1350</v>
      </c>
      <c r="N151" s="2" t="s">
        <v>1366</v>
      </c>
      <c r="O151" s="2" t="s">
        <v>1148</v>
      </c>
      <c r="P151" s="2"/>
      <c r="Q151" s="2" t="s">
        <v>1367</v>
      </c>
      <c r="R151" s="2" t="s">
        <v>1150</v>
      </c>
      <c r="S151" s="2"/>
      <c r="T151" s="2" t="s">
        <v>1368</v>
      </c>
      <c r="U151" s="2" t="s">
        <v>749</v>
      </c>
      <c r="V151" s="2" t="s">
        <v>515</v>
      </c>
      <c r="W151" s="2">
        <v>0.01</v>
      </c>
      <c r="X151" s="2" t="s">
        <v>395</v>
      </c>
      <c r="Y151" s="2" t="s">
        <v>690</v>
      </c>
      <c r="Z151" s="2" t="s">
        <v>107</v>
      </c>
      <c r="AA151" s="2" t="s">
        <v>107</v>
      </c>
      <c r="AB151" s="2">
        <v>9</v>
      </c>
      <c r="AC151" s="2" t="s">
        <v>751</v>
      </c>
      <c r="AD151" s="2" t="s">
        <v>1369</v>
      </c>
      <c r="AE151" s="2" t="s">
        <v>399</v>
      </c>
      <c r="AF151" s="2" t="s">
        <v>147</v>
      </c>
      <c r="AG151" s="2"/>
    </row>
    <row r="152" spans="1:33" ht="28">
      <c r="A152" s="2" t="s">
        <v>1370</v>
      </c>
      <c r="B152" s="2" t="s">
        <v>139</v>
      </c>
      <c r="C152" s="2">
        <v>2022</v>
      </c>
      <c r="D152" s="2" t="s">
        <v>141</v>
      </c>
      <c r="E152" s="3" t="b">
        <v>1</v>
      </c>
      <c r="F152" s="2" t="s">
        <v>149</v>
      </c>
      <c r="G152" s="2" t="s">
        <v>1327</v>
      </c>
      <c r="H152" s="2" t="s">
        <v>98</v>
      </c>
      <c r="I152" s="2" t="s">
        <v>1347</v>
      </c>
      <c r="J152" s="2" t="s">
        <v>1348</v>
      </c>
      <c r="K152" s="2" t="s">
        <v>1371</v>
      </c>
      <c r="L152" s="2" t="s">
        <v>386</v>
      </c>
      <c r="M152" s="2" t="s">
        <v>1372</v>
      </c>
      <c r="N152" s="2" t="s">
        <v>1373</v>
      </c>
      <c r="O152" s="2" t="s">
        <v>1374</v>
      </c>
      <c r="P152" s="2"/>
      <c r="Q152" s="2" t="s">
        <v>1375</v>
      </c>
      <c r="R152" s="2" t="s">
        <v>1376</v>
      </c>
      <c r="S152" s="2"/>
      <c r="T152" s="2" t="s">
        <v>1377</v>
      </c>
      <c r="U152" s="2" t="s">
        <v>749</v>
      </c>
      <c r="V152" s="2" t="s">
        <v>451</v>
      </c>
      <c r="W152" s="2">
        <v>0.04</v>
      </c>
      <c r="X152" s="2" t="s">
        <v>395</v>
      </c>
      <c r="Y152" s="2" t="s">
        <v>690</v>
      </c>
      <c r="Z152" s="2" t="s">
        <v>107</v>
      </c>
      <c r="AA152" s="2" t="s">
        <v>107</v>
      </c>
      <c r="AB152" s="2">
        <v>9</v>
      </c>
      <c r="AC152" s="2" t="s">
        <v>751</v>
      </c>
      <c r="AD152" s="2" t="s">
        <v>1378</v>
      </c>
      <c r="AE152" s="2" t="s">
        <v>399</v>
      </c>
      <c r="AF152" s="2" t="s">
        <v>147</v>
      </c>
      <c r="AG152" s="2"/>
    </row>
    <row r="153" spans="1:33" ht="28">
      <c r="A153" s="2" t="s">
        <v>1379</v>
      </c>
      <c r="B153" s="2" t="s">
        <v>139</v>
      </c>
      <c r="C153" s="2">
        <v>2022</v>
      </c>
      <c r="D153" s="2" t="s">
        <v>141</v>
      </c>
      <c r="E153" s="3" t="b">
        <v>1</v>
      </c>
      <c r="F153" s="2" t="s">
        <v>149</v>
      </c>
      <c r="G153" s="2" t="s">
        <v>1327</v>
      </c>
      <c r="H153" s="2" t="s">
        <v>98</v>
      </c>
      <c r="I153" s="2" t="s">
        <v>1347</v>
      </c>
      <c r="J153" s="2" t="s">
        <v>1348</v>
      </c>
      <c r="K153" s="2" t="s">
        <v>1371</v>
      </c>
      <c r="L153" s="2" t="s">
        <v>386</v>
      </c>
      <c r="M153" s="2" t="s">
        <v>1380</v>
      </c>
      <c r="N153" s="2" t="s">
        <v>1373</v>
      </c>
      <c r="O153" s="2" t="s">
        <v>1381</v>
      </c>
      <c r="P153" s="2"/>
      <c r="Q153" s="2" t="s">
        <v>1375</v>
      </c>
      <c r="R153" s="2" t="s">
        <v>1376</v>
      </c>
      <c r="S153" s="2"/>
      <c r="T153" s="2" t="s">
        <v>1382</v>
      </c>
      <c r="U153" s="2" t="s">
        <v>749</v>
      </c>
      <c r="V153" s="2" t="s">
        <v>460</v>
      </c>
      <c r="W153" s="2">
        <v>0.02</v>
      </c>
      <c r="X153" s="2" t="s">
        <v>395</v>
      </c>
      <c r="Y153" s="2" t="s">
        <v>690</v>
      </c>
      <c r="Z153" s="2" t="s">
        <v>107</v>
      </c>
      <c r="AA153" s="2" t="s">
        <v>107</v>
      </c>
      <c r="AB153" s="2">
        <v>9</v>
      </c>
      <c r="AC153" s="2" t="s">
        <v>751</v>
      </c>
      <c r="AD153" s="2" t="s">
        <v>1383</v>
      </c>
      <c r="AE153" s="2" t="s">
        <v>399</v>
      </c>
      <c r="AF153" s="2" t="s">
        <v>147</v>
      </c>
      <c r="AG153" s="2"/>
    </row>
    <row r="154" spans="1:33" ht="28">
      <c r="A154" s="2" t="s">
        <v>1384</v>
      </c>
      <c r="B154" s="2" t="s">
        <v>139</v>
      </c>
      <c r="C154" s="2">
        <v>2022</v>
      </c>
      <c r="D154" s="2" t="s">
        <v>141</v>
      </c>
      <c r="E154" s="3" t="b">
        <v>1</v>
      </c>
      <c r="F154" s="2" t="s">
        <v>149</v>
      </c>
      <c r="G154" s="2" t="s">
        <v>1327</v>
      </c>
      <c r="H154" s="2" t="s">
        <v>98</v>
      </c>
      <c r="I154" s="2" t="s">
        <v>1347</v>
      </c>
      <c r="J154" s="2" t="s">
        <v>1348</v>
      </c>
      <c r="K154" s="2" t="s">
        <v>1371</v>
      </c>
      <c r="L154" s="2" t="s">
        <v>386</v>
      </c>
      <c r="M154" s="2" t="s">
        <v>1385</v>
      </c>
      <c r="N154" s="2" t="s">
        <v>1373</v>
      </c>
      <c r="O154" s="2" t="s">
        <v>1386</v>
      </c>
      <c r="P154" s="2"/>
      <c r="Q154" s="2" t="s">
        <v>1375</v>
      </c>
      <c r="R154" s="2" t="s">
        <v>1387</v>
      </c>
      <c r="S154" s="2"/>
      <c r="T154" s="2" t="s">
        <v>1388</v>
      </c>
      <c r="U154" s="2" t="s">
        <v>749</v>
      </c>
      <c r="V154" s="2" t="s">
        <v>482</v>
      </c>
      <c r="W154" s="2">
        <v>0.05</v>
      </c>
      <c r="X154" s="2" t="s">
        <v>483</v>
      </c>
      <c r="Y154" s="2" t="s">
        <v>690</v>
      </c>
      <c r="Z154" s="2" t="s">
        <v>107</v>
      </c>
      <c r="AA154" s="2" t="s">
        <v>107</v>
      </c>
      <c r="AB154" s="2">
        <v>9</v>
      </c>
      <c r="AC154" s="2" t="s">
        <v>751</v>
      </c>
      <c r="AD154" s="2" t="s">
        <v>1389</v>
      </c>
      <c r="AE154" s="2" t="s">
        <v>399</v>
      </c>
      <c r="AF154" s="2" t="s">
        <v>147</v>
      </c>
      <c r="AG154" s="2"/>
    </row>
    <row r="155" spans="1:33">
      <c r="A155" s="2" t="s">
        <v>1390</v>
      </c>
      <c r="B155" s="2" t="s">
        <v>124</v>
      </c>
      <c r="C155" s="2">
        <v>2014</v>
      </c>
      <c r="D155" s="2" t="s">
        <v>126</v>
      </c>
      <c r="E155" s="3" t="b">
        <v>0</v>
      </c>
      <c r="F155" s="2" t="s">
        <v>134</v>
      </c>
      <c r="G155" s="2" t="s">
        <v>1391</v>
      </c>
      <c r="H155" s="2" t="s">
        <v>129</v>
      </c>
      <c r="I155" s="2" t="s">
        <v>1392</v>
      </c>
      <c r="J155" s="2" t="s">
        <v>1247</v>
      </c>
      <c r="K155" s="2" t="s">
        <v>1393</v>
      </c>
      <c r="L155" s="2" t="s">
        <v>443</v>
      </c>
      <c r="M155" s="2" t="s">
        <v>1394</v>
      </c>
      <c r="N155" s="2" t="s">
        <v>1395</v>
      </c>
      <c r="O155" s="2" t="s">
        <v>1396</v>
      </c>
      <c r="P155" s="2" t="s">
        <v>1397</v>
      </c>
      <c r="Q155" s="2" t="s">
        <v>1398</v>
      </c>
      <c r="R155" s="2" t="s">
        <v>1399</v>
      </c>
      <c r="S155" s="2" t="s">
        <v>1400</v>
      </c>
      <c r="T155" s="2" t="s">
        <v>1401</v>
      </c>
      <c r="U155" s="2" t="s">
        <v>1168</v>
      </c>
      <c r="V155" s="2" t="s">
        <v>861</v>
      </c>
      <c r="W155" s="2">
        <v>4.0000000000000001E-3</v>
      </c>
      <c r="X155" s="2" t="s">
        <v>395</v>
      </c>
      <c r="Y155" s="2" t="s">
        <v>1402</v>
      </c>
      <c r="Z155" s="2" t="s">
        <v>107</v>
      </c>
      <c r="AA155" s="2" t="s">
        <v>107</v>
      </c>
      <c r="AB155" s="2">
        <v>-1</v>
      </c>
      <c r="AC155" s="2" t="s">
        <v>407</v>
      </c>
      <c r="AD155" s="2" t="s">
        <v>1403</v>
      </c>
      <c r="AE155" s="2" t="s">
        <v>399</v>
      </c>
      <c r="AF155" s="2" t="s">
        <v>132</v>
      </c>
      <c r="AG155" s="2"/>
    </row>
    <row r="156" spans="1:33">
      <c r="A156" s="2" t="s">
        <v>1404</v>
      </c>
      <c r="B156" s="2" t="s">
        <v>124</v>
      </c>
      <c r="C156" s="2">
        <v>2014</v>
      </c>
      <c r="D156" s="2" t="s">
        <v>126</v>
      </c>
      <c r="E156" s="3" t="b">
        <v>0</v>
      </c>
      <c r="F156" s="2" t="s">
        <v>134</v>
      </c>
      <c r="G156" s="2" t="s">
        <v>1391</v>
      </c>
      <c r="H156" s="2" t="s">
        <v>129</v>
      </c>
      <c r="I156" s="2" t="s">
        <v>1392</v>
      </c>
      <c r="J156" s="2" t="s">
        <v>1247</v>
      </c>
      <c r="K156" s="2" t="s">
        <v>1393</v>
      </c>
      <c r="L156" s="2" t="s">
        <v>443</v>
      </c>
      <c r="M156" s="2" t="s">
        <v>1405</v>
      </c>
      <c r="N156" s="2" t="s">
        <v>97</v>
      </c>
      <c r="O156" s="2" t="s">
        <v>1406</v>
      </c>
      <c r="P156" s="2" t="s">
        <v>1407</v>
      </c>
      <c r="Q156" s="2" t="s">
        <v>391</v>
      </c>
      <c r="R156" s="2" t="s">
        <v>1408</v>
      </c>
      <c r="S156" s="2" t="s">
        <v>1409</v>
      </c>
      <c r="T156" s="2" t="s">
        <v>1401</v>
      </c>
      <c r="U156" s="2" t="s">
        <v>1168</v>
      </c>
      <c r="V156" s="2" t="s">
        <v>1410</v>
      </c>
      <c r="W156" s="2">
        <v>3.0000000000000001E-3</v>
      </c>
      <c r="X156" s="2" t="s">
        <v>395</v>
      </c>
      <c r="Y156" s="2" t="s">
        <v>1402</v>
      </c>
      <c r="Z156" s="2" t="s">
        <v>107</v>
      </c>
      <c r="AA156" s="2" t="s">
        <v>107</v>
      </c>
      <c r="AB156" s="2">
        <v>-1</v>
      </c>
      <c r="AC156" s="2" t="s">
        <v>407</v>
      </c>
      <c r="AD156" s="2" t="s">
        <v>1403</v>
      </c>
      <c r="AE156" s="2" t="s">
        <v>399</v>
      </c>
      <c r="AF156" s="2" t="s">
        <v>132</v>
      </c>
      <c r="AG156" s="2"/>
    </row>
    <row r="157" spans="1:33">
      <c r="A157" s="2" t="s">
        <v>1411</v>
      </c>
      <c r="B157" s="2" t="s">
        <v>124</v>
      </c>
      <c r="C157" s="2">
        <v>2014</v>
      </c>
      <c r="D157" s="2" t="s">
        <v>126</v>
      </c>
      <c r="E157" s="3" t="b">
        <v>0</v>
      </c>
      <c r="F157" s="2" t="s">
        <v>134</v>
      </c>
      <c r="G157" s="2" t="s">
        <v>1391</v>
      </c>
      <c r="H157" s="2" t="s">
        <v>129</v>
      </c>
      <c r="I157" s="2" t="s">
        <v>1392</v>
      </c>
      <c r="J157" s="2" t="s">
        <v>1247</v>
      </c>
      <c r="K157" s="2" t="s">
        <v>1393</v>
      </c>
      <c r="L157" s="2" t="s">
        <v>443</v>
      </c>
      <c r="M157" s="2" t="s">
        <v>1412</v>
      </c>
      <c r="N157" s="2" t="s">
        <v>97</v>
      </c>
      <c r="O157" s="2" t="s">
        <v>1413</v>
      </c>
      <c r="P157" s="2" t="s">
        <v>1414</v>
      </c>
      <c r="Q157" s="2" t="s">
        <v>391</v>
      </c>
      <c r="R157" s="2" t="s">
        <v>1415</v>
      </c>
      <c r="S157" s="2" t="s">
        <v>1416</v>
      </c>
      <c r="T157" s="2" t="s">
        <v>1401</v>
      </c>
      <c r="U157" s="2" t="s">
        <v>1168</v>
      </c>
      <c r="V157" s="2" t="s">
        <v>861</v>
      </c>
      <c r="W157" s="2">
        <v>4.0000000000000001E-3</v>
      </c>
      <c r="X157" s="2" t="s">
        <v>395</v>
      </c>
      <c r="Y157" s="2" t="s">
        <v>1402</v>
      </c>
      <c r="Z157" s="2" t="s">
        <v>107</v>
      </c>
      <c r="AA157" s="2" t="s">
        <v>107</v>
      </c>
      <c r="AB157" s="2">
        <v>-1</v>
      </c>
      <c r="AC157" s="2" t="s">
        <v>407</v>
      </c>
      <c r="AD157" s="2" t="s">
        <v>1403</v>
      </c>
      <c r="AE157" s="2" t="s">
        <v>399</v>
      </c>
      <c r="AF157" s="2" t="s">
        <v>132</v>
      </c>
      <c r="AG157" s="2"/>
    </row>
    <row r="158" spans="1:33">
      <c r="A158" s="2" t="s">
        <v>1417</v>
      </c>
      <c r="B158" s="2" t="s">
        <v>124</v>
      </c>
      <c r="C158" s="2">
        <v>2014</v>
      </c>
      <c r="D158" s="2" t="s">
        <v>126</v>
      </c>
      <c r="E158" s="3" t="b">
        <v>0</v>
      </c>
      <c r="F158" s="2" t="s">
        <v>134</v>
      </c>
      <c r="G158" s="2" t="s">
        <v>1391</v>
      </c>
      <c r="H158" s="2" t="s">
        <v>129</v>
      </c>
      <c r="I158" s="2" t="s">
        <v>1392</v>
      </c>
      <c r="J158" s="2" t="s">
        <v>1247</v>
      </c>
      <c r="K158" s="2" t="s">
        <v>1393</v>
      </c>
      <c r="L158" s="2" t="s">
        <v>443</v>
      </c>
      <c r="M158" s="2" t="s">
        <v>1418</v>
      </c>
      <c r="N158" s="2" t="s">
        <v>97</v>
      </c>
      <c r="O158" s="2" t="s">
        <v>1419</v>
      </c>
      <c r="P158" s="2" t="s">
        <v>1420</v>
      </c>
      <c r="Q158" s="2" t="s">
        <v>391</v>
      </c>
      <c r="R158" s="2" t="s">
        <v>1421</v>
      </c>
      <c r="S158" s="2" t="s">
        <v>1422</v>
      </c>
      <c r="T158" s="2" t="s">
        <v>1423</v>
      </c>
      <c r="U158" s="2" t="s">
        <v>1168</v>
      </c>
      <c r="V158" s="2" t="s">
        <v>1424</v>
      </c>
      <c r="W158" s="2">
        <v>1.9E-2</v>
      </c>
      <c r="X158" s="2" t="s">
        <v>395</v>
      </c>
      <c r="Y158" s="2" t="s">
        <v>1402</v>
      </c>
      <c r="Z158" s="2" t="s">
        <v>107</v>
      </c>
      <c r="AA158" s="2" t="s">
        <v>107</v>
      </c>
      <c r="AB158" s="2">
        <v>1</v>
      </c>
      <c r="AC158" s="2" t="s">
        <v>397</v>
      </c>
      <c r="AD158" s="2" t="s">
        <v>1331</v>
      </c>
      <c r="AE158" s="2" t="s">
        <v>399</v>
      </c>
      <c r="AF158" s="2" t="s">
        <v>132</v>
      </c>
      <c r="AG158" s="2"/>
    </row>
    <row r="159" spans="1:33">
      <c r="A159" s="2" t="s">
        <v>1425</v>
      </c>
      <c r="B159" s="2" t="s">
        <v>124</v>
      </c>
      <c r="C159" s="2">
        <v>2014</v>
      </c>
      <c r="D159" s="2" t="s">
        <v>126</v>
      </c>
      <c r="E159" s="3" t="b">
        <v>0</v>
      </c>
      <c r="F159" s="2" t="s">
        <v>134</v>
      </c>
      <c r="G159" s="2" t="s">
        <v>1391</v>
      </c>
      <c r="H159" s="2" t="s">
        <v>129</v>
      </c>
      <c r="I159" s="2" t="s">
        <v>1392</v>
      </c>
      <c r="J159" s="2" t="s">
        <v>1247</v>
      </c>
      <c r="K159" s="2" t="s">
        <v>1393</v>
      </c>
      <c r="L159" s="2" t="s">
        <v>386</v>
      </c>
      <c r="M159" s="2" t="s">
        <v>1426</v>
      </c>
      <c r="N159" s="2" t="s">
        <v>97</v>
      </c>
      <c r="O159" s="2" t="s">
        <v>1427</v>
      </c>
      <c r="P159" s="2"/>
      <c r="Q159" s="2" t="s">
        <v>391</v>
      </c>
      <c r="R159" s="2" t="s">
        <v>1428</v>
      </c>
      <c r="S159" s="2"/>
      <c r="T159" s="2" t="s">
        <v>1423</v>
      </c>
      <c r="U159" s="2" t="s">
        <v>1168</v>
      </c>
      <c r="V159" s="2" t="s">
        <v>394</v>
      </c>
      <c r="W159" s="2">
        <v>1E-3</v>
      </c>
      <c r="X159" s="2" t="s">
        <v>395</v>
      </c>
      <c r="Y159" s="2" t="s">
        <v>1429</v>
      </c>
      <c r="Z159" s="2" t="s">
        <v>107</v>
      </c>
      <c r="AA159" s="2" t="s">
        <v>107</v>
      </c>
      <c r="AB159" s="2">
        <v>1</v>
      </c>
      <c r="AC159" s="2" t="s">
        <v>397</v>
      </c>
      <c r="AD159" s="2" t="s">
        <v>1430</v>
      </c>
      <c r="AE159" s="2" t="s">
        <v>399</v>
      </c>
      <c r="AF159" s="2" t="s">
        <v>132</v>
      </c>
      <c r="AG159" s="2"/>
    </row>
    <row r="160" spans="1:33">
      <c r="A160" s="2" t="s">
        <v>1431</v>
      </c>
      <c r="B160" s="2" t="s">
        <v>124</v>
      </c>
      <c r="C160" s="2">
        <v>2014</v>
      </c>
      <c r="D160" s="2" t="s">
        <v>126</v>
      </c>
      <c r="E160" s="3" t="b">
        <v>0</v>
      </c>
      <c r="F160" s="2" t="s">
        <v>134</v>
      </c>
      <c r="G160" s="2" t="s">
        <v>1391</v>
      </c>
      <c r="H160" s="2" t="s">
        <v>129</v>
      </c>
      <c r="I160" s="2" t="s">
        <v>1392</v>
      </c>
      <c r="J160" s="2" t="s">
        <v>1247</v>
      </c>
      <c r="K160" s="2" t="s">
        <v>1393</v>
      </c>
      <c r="L160" s="2" t="s">
        <v>386</v>
      </c>
      <c r="M160" s="2" t="s">
        <v>1432</v>
      </c>
      <c r="N160" s="2" t="s">
        <v>97</v>
      </c>
      <c r="O160" s="2" t="s">
        <v>896</v>
      </c>
      <c r="P160" s="2" t="s">
        <v>896</v>
      </c>
      <c r="Q160" s="2" t="s">
        <v>391</v>
      </c>
      <c r="R160" s="2" t="s">
        <v>1013</v>
      </c>
      <c r="S160" s="2"/>
      <c r="T160" s="2" t="s">
        <v>1401</v>
      </c>
      <c r="U160" s="2" t="s">
        <v>1168</v>
      </c>
      <c r="V160" s="2" t="s">
        <v>1410</v>
      </c>
      <c r="W160" s="2">
        <v>3.0000000000000001E-3</v>
      </c>
      <c r="X160" s="2" t="s">
        <v>395</v>
      </c>
      <c r="Y160" s="2" t="s">
        <v>1429</v>
      </c>
      <c r="Z160" s="2" t="s">
        <v>107</v>
      </c>
      <c r="AA160" s="2" t="s">
        <v>107</v>
      </c>
      <c r="AB160" s="2">
        <v>-1</v>
      </c>
      <c r="AC160" s="2" t="s">
        <v>407</v>
      </c>
      <c r="AD160" s="2" t="s">
        <v>1433</v>
      </c>
      <c r="AE160" s="2" t="s">
        <v>399</v>
      </c>
      <c r="AF160" s="2" t="s">
        <v>132</v>
      </c>
      <c r="AG160" s="2"/>
    </row>
    <row r="161" spans="1:33">
      <c r="A161" s="2" t="s">
        <v>1434</v>
      </c>
      <c r="B161" s="2" t="s">
        <v>124</v>
      </c>
      <c r="C161" s="2">
        <v>2014</v>
      </c>
      <c r="D161" s="2" t="s">
        <v>126</v>
      </c>
      <c r="E161" s="3" t="b">
        <v>0</v>
      </c>
      <c r="F161" s="2" t="s">
        <v>134</v>
      </c>
      <c r="G161" s="2" t="s">
        <v>1391</v>
      </c>
      <c r="H161" s="2" t="s">
        <v>129</v>
      </c>
      <c r="I161" s="2" t="s">
        <v>1392</v>
      </c>
      <c r="J161" s="2" t="s">
        <v>1247</v>
      </c>
      <c r="K161" s="2" t="s">
        <v>1393</v>
      </c>
      <c r="L161" s="2" t="s">
        <v>386</v>
      </c>
      <c r="M161" s="2" t="s">
        <v>1435</v>
      </c>
      <c r="N161" s="2" t="s">
        <v>97</v>
      </c>
      <c r="O161" s="2" t="s">
        <v>1013</v>
      </c>
      <c r="P161" s="2" t="s">
        <v>1013</v>
      </c>
      <c r="Q161" s="2" t="s">
        <v>391</v>
      </c>
      <c r="R161" s="2" t="s">
        <v>896</v>
      </c>
      <c r="S161" s="2"/>
      <c r="T161" s="2" t="s">
        <v>1423</v>
      </c>
      <c r="U161" s="2" t="s">
        <v>1168</v>
      </c>
      <c r="V161" s="2" t="s">
        <v>886</v>
      </c>
      <c r="W161" s="2">
        <v>1.2E-2</v>
      </c>
      <c r="X161" s="2" t="s">
        <v>395</v>
      </c>
      <c r="Y161" s="2" t="s">
        <v>1429</v>
      </c>
      <c r="Z161" s="2" t="s">
        <v>107</v>
      </c>
      <c r="AA161" s="2" t="s">
        <v>107</v>
      </c>
      <c r="AB161" s="2">
        <v>1</v>
      </c>
      <c r="AC161" s="2" t="s">
        <v>397</v>
      </c>
      <c r="AD161" s="2" t="s">
        <v>1436</v>
      </c>
      <c r="AE161" s="2" t="s">
        <v>399</v>
      </c>
      <c r="AF161" s="2" t="s">
        <v>132</v>
      </c>
      <c r="AG161" s="2"/>
    </row>
    <row r="162" spans="1:33">
      <c r="A162" s="2" t="s">
        <v>1437</v>
      </c>
      <c r="B162" s="2" t="s">
        <v>124</v>
      </c>
      <c r="C162" s="2">
        <v>2014</v>
      </c>
      <c r="D162" s="2" t="s">
        <v>126</v>
      </c>
      <c r="E162" s="3" t="b">
        <v>0</v>
      </c>
      <c r="F162" s="2" t="s">
        <v>134</v>
      </c>
      <c r="G162" s="2" t="s">
        <v>1391</v>
      </c>
      <c r="H162" s="2" t="s">
        <v>129</v>
      </c>
      <c r="I162" s="2" t="s">
        <v>1392</v>
      </c>
      <c r="J162" s="2" t="s">
        <v>1247</v>
      </c>
      <c r="K162" s="2" t="s">
        <v>1393</v>
      </c>
      <c r="L162" s="2" t="s">
        <v>386</v>
      </c>
      <c r="M162" s="2" t="s">
        <v>1438</v>
      </c>
      <c r="N162" s="2" t="s">
        <v>97</v>
      </c>
      <c r="O162" s="2" t="s">
        <v>1013</v>
      </c>
      <c r="P162" s="2" t="s">
        <v>1013</v>
      </c>
      <c r="Q162" s="2" t="s">
        <v>391</v>
      </c>
      <c r="R162" s="2" t="s">
        <v>896</v>
      </c>
      <c r="S162" s="2"/>
      <c r="T162" s="2" t="s">
        <v>1423</v>
      </c>
      <c r="U162" s="2" t="s">
        <v>1168</v>
      </c>
      <c r="V162" s="2" t="s">
        <v>1439</v>
      </c>
      <c r="W162" s="2">
        <v>7.0000000000000001E-3</v>
      </c>
      <c r="X162" s="2" t="s">
        <v>395</v>
      </c>
      <c r="Y162" s="2" t="s">
        <v>1429</v>
      </c>
      <c r="Z162" s="2" t="s">
        <v>107</v>
      </c>
      <c r="AA162" s="2" t="s">
        <v>107</v>
      </c>
      <c r="AB162" s="2">
        <v>1</v>
      </c>
      <c r="AC162" s="2" t="s">
        <v>397</v>
      </c>
      <c r="AD162" s="2" t="s">
        <v>1436</v>
      </c>
      <c r="AE162" s="2" t="s">
        <v>399</v>
      </c>
      <c r="AF162" s="2" t="s">
        <v>132</v>
      </c>
      <c r="AG162" s="2"/>
    </row>
    <row r="163" spans="1:33">
      <c r="A163" s="2" t="s">
        <v>1440</v>
      </c>
      <c r="B163" s="2" t="s">
        <v>124</v>
      </c>
      <c r="C163" s="2">
        <v>2014</v>
      </c>
      <c r="D163" s="2" t="s">
        <v>126</v>
      </c>
      <c r="E163" s="3" t="b">
        <v>0</v>
      </c>
      <c r="F163" s="2" t="s">
        <v>134</v>
      </c>
      <c r="G163" s="2" t="s">
        <v>1391</v>
      </c>
      <c r="H163" s="2" t="s">
        <v>129</v>
      </c>
      <c r="I163" s="2" t="s">
        <v>1392</v>
      </c>
      <c r="J163" s="2" t="s">
        <v>1247</v>
      </c>
      <c r="K163" s="2" t="s">
        <v>1393</v>
      </c>
      <c r="L163" s="2" t="s">
        <v>386</v>
      </c>
      <c r="M163" s="2" t="s">
        <v>1441</v>
      </c>
      <c r="N163" s="2" t="s">
        <v>97</v>
      </c>
      <c r="O163" s="2" t="s">
        <v>1013</v>
      </c>
      <c r="P163" s="2" t="s">
        <v>1013</v>
      </c>
      <c r="Q163" s="2" t="s">
        <v>391</v>
      </c>
      <c r="R163" s="2" t="s">
        <v>896</v>
      </c>
      <c r="S163" s="2"/>
      <c r="T163" s="2" t="s">
        <v>1423</v>
      </c>
      <c r="U163" s="2" t="s">
        <v>1168</v>
      </c>
      <c r="V163" s="2" t="s">
        <v>394</v>
      </c>
      <c r="W163" s="2">
        <v>1E-3</v>
      </c>
      <c r="X163" s="2" t="s">
        <v>395</v>
      </c>
      <c r="Y163" s="2" t="s">
        <v>1429</v>
      </c>
      <c r="Z163" s="2" t="s">
        <v>107</v>
      </c>
      <c r="AA163" s="2" t="s">
        <v>107</v>
      </c>
      <c r="AB163" s="2">
        <v>1</v>
      </c>
      <c r="AC163" s="2" t="s">
        <v>397</v>
      </c>
      <c r="AD163" s="2" t="s">
        <v>1436</v>
      </c>
      <c r="AE163" s="2" t="s">
        <v>399</v>
      </c>
      <c r="AF163" s="2" t="s">
        <v>132</v>
      </c>
      <c r="AG163" s="2"/>
    </row>
    <row r="164" spans="1:33">
      <c r="A164" s="2" t="s">
        <v>1442</v>
      </c>
      <c r="B164" s="2" t="s">
        <v>124</v>
      </c>
      <c r="C164" s="2">
        <v>2014</v>
      </c>
      <c r="D164" s="2" t="s">
        <v>126</v>
      </c>
      <c r="E164" s="3" t="b">
        <v>0</v>
      </c>
      <c r="F164" s="2" t="s">
        <v>134</v>
      </c>
      <c r="G164" s="2" t="s">
        <v>1391</v>
      </c>
      <c r="H164" s="2" t="s">
        <v>129</v>
      </c>
      <c r="I164" s="2" t="s">
        <v>1392</v>
      </c>
      <c r="J164" s="2" t="s">
        <v>1247</v>
      </c>
      <c r="K164" s="2" t="s">
        <v>1393</v>
      </c>
      <c r="L164" s="2" t="s">
        <v>386</v>
      </c>
      <c r="M164" s="2" t="s">
        <v>1443</v>
      </c>
      <c r="N164" s="2" t="s">
        <v>97</v>
      </c>
      <c r="O164" s="2" t="s">
        <v>896</v>
      </c>
      <c r="P164" s="2" t="s">
        <v>896</v>
      </c>
      <c r="Q164" s="2" t="s">
        <v>391</v>
      </c>
      <c r="R164" s="2" t="s">
        <v>1013</v>
      </c>
      <c r="S164" s="2"/>
      <c r="T164" s="2" t="s">
        <v>1401</v>
      </c>
      <c r="U164" s="2" t="s">
        <v>1168</v>
      </c>
      <c r="V164" s="2" t="s">
        <v>394</v>
      </c>
      <c r="W164" s="2">
        <v>1E-3</v>
      </c>
      <c r="X164" s="2" t="s">
        <v>395</v>
      </c>
      <c r="Y164" s="2" t="s">
        <v>1429</v>
      </c>
      <c r="Z164" s="2" t="s">
        <v>107</v>
      </c>
      <c r="AA164" s="2" t="s">
        <v>107</v>
      </c>
      <c r="AB164" s="2">
        <v>-1</v>
      </c>
      <c r="AC164" s="2" t="s">
        <v>407</v>
      </c>
      <c r="AD164" s="2" t="s">
        <v>1444</v>
      </c>
      <c r="AE164" s="2" t="s">
        <v>399</v>
      </c>
      <c r="AF164" s="2" t="s">
        <v>132</v>
      </c>
      <c r="AG164" s="2"/>
    </row>
    <row r="165" spans="1:33">
      <c r="A165" s="2" t="s">
        <v>1445</v>
      </c>
      <c r="B165" s="2" t="s">
        <v>124</v>
      </c>
      <c r="C165" s="2">
        <v>2014</v>
      </c>
      <c r="D165" s="2" t="s">
        <v>126</v>
      </c>
      <c r="E165" s="3" t="b">
        <v>0</v>
      </c>
      <c r="F165" s="2" t="s">
        <v>134</v>
      </c>
      <c r="G165" s="2" t="s">
        <v>1391</v>
      </c>
      <c r="H165" s="2" t="s">
        <v>129</v>
      </c>
      <c r="I165" s="2" t="s">
        <v>1392</v>
      </c>
      <c r="J165" s="2" t="s">
        <v>1247</v>
      </c>
      <c r="K165" s="2" t="s">
        <v>1393</v>
      </c>
      <c r="L165" s="2" t="s">
        <v>386</v>
      </c>
      <c r="M165" s="2" t="s">
        <v>1446</v>
      </c>
      <c r="N165" s="2" t="s">
        <v>97</v>
      </c>
      <c r="O165" s="2" t="s">
        <v>896</v>
      </c>
      <c r="P165" s="2" t="s">
        <v>896</v>
      </c>
      <c r="Q165" s="2" t="s">
        <v>391</v>
      </c>
      <c r="R165" s="2" t="s">
        <v>1013</v>
      </c>
      <c r="S165" s="2"/>
      <c r="T165" s="2" t="s">
        <v>1401</v>
      </c>
      <c r="U165" s="2" t="s">
        <v>1168</v>
      </c>
      <c r="V165" s="2" t="s">
        <v>394</v>
      </c>
      <c r="W165" s="2">
        <v>1E-3</v>
      </c>
      <c r="X165" s="2" t="s">
        <v>395</v>
      </c>
      <c r="Y165" s="2" t="s">
        <v>1429</v>
      </c>
      <c r="Z165" s="2" t="s">
        <v>107</v>
      </c>
      <c r="AA165" s="2" t="s">
        <v>107</v>
      </c>
      <c r="AB165" s="2">
        <v>-1</v>
      </c>
      <c r="AC165" s="2" t="s">
        <v>407</v>
      </c>
      <c r="AD165" s="2" t="s">
        <v>1444</v>
      </c>
      <c r="AE165" s="2" t="s">
        <v>399</v>
      </c>
      <c r="AF165" s="2" t="s">
        <v>132</v>
      </c>
      <c r="AG165" s="2"/>
    </row>
    <row r="166" spans="1:33" ht="28">
      <c r="A166" s="2" t="s">
        <v>1447</v>
      </c>
      <c r="B166" s="2" t="s">
        <v>256</v>
      </c>
      <c r="C166" s="2">
        <v>2020</v>
      </c>
      <c r="D166" s="2" t="s">
        <v>126</v>
      </c>
      <c r="E166" s="3" t="b">
        <v>1</v>
      </c>
      <c r="F166" s="2" t="s">
        <v>120</v>
      </c>
      <c r="G166" s="2" t="s">
        <v>260</v>
      </c>
      <c r="H166" s="2" t="s">
        <v>98</v>
      </c>
      <c r="I166" s="2" t="s">
        <v>1448</v>
      </c>
      <c r="J166" s="2" t="s">
        <v>1449</v>
      </c>
      <c r="K166" s="2" t="s">
        <v>1450</v>
      </c>
      <c r="L166" s="2" t="s">
        <v>443</v>
      </c>
      <c r="M166" s="2" t="s">
        <v>1451</v>
      </c>
      <c r="N166" s="2" t="s">
        <v>97</v>
      </c>
      <c r="O166" s="2" t="s">
        <v>734</v>
      </c>
      <c r="P166" s="2" t="s">
        <v>734</v>
      </c>
      <c r="Q166" s="2" t="s">
        <v>391</v>
      </c>
      <c r="R166" s="2" t="s">
        <v>734</v>
      </c>
      <c r="S166" s="2" t="s">
        <v>734</v>
      </c>
      <c r="T166" s="2" t="s">
        <v>734</v>
      </c>
      <c r="U166" s="2" t="s">
        <v>734</v>
      </c>
      <c r="V166" s="2" t="s">
        <v>1452</v>
      </c>
      <c r="W166" s="2">
        <v>0.05</v>
      </c>
      <c r="X166" s="2" t="s">
        <v>107</v>
      </c>
      <c r="Y166" s="2" t="s">
        <v>1453</v>
      </c>
      <c r="Z166" s="2" t="s">
        <v>107</v>
      </c>
      <c r="AA166" s="2" t="s">
        <v>107</v>
      </c>
      <c r="AB166" s="2">
        <v>0</v>
      </c>
      <c r="AC166" s="2" t="s">
        <v>715</v>
      </c>
      <c r="AD166" s="2" t="s">
        <v>1454</v>
      </c>
      <c r="AE166" s="2" t="s">
        <v>399</v>
      </c>
      <c r="AF166" s="2" t="s">
        <v>261</v>
      </c>
      <c r="AG166" s="2"/>
    </row>
    <row r="167" spans="1:33" ht="28">
      <c r="A167" s="2" t="s">
        <v>1455</v>
      </c>
      <c r="B167" s="2" t="s">
        <v>256</v>
      </c>
      <c r="C167" s="2">
        <v>2020</v>
      </c>
      <c r="D167" s="2" t="s">
        <v>126</v>
      </c>
      <c r="E167" s="3" t="b">
        <v>1</v>
      </c>
      <c r="F167" s="2" t="s">
        <v>120</v>
      </c>
      <c r="G167" s="2" t="s">
        <v>260</v>
      </c>
      <c r="H167" s="2" t="s">
        <v>98</v>
      </c>
      <c r="I167" s="2" t="s">
        <v>1448</v>
      </c>
      <c r="J167" s="2" t="s">
        <v>1449</v>
      </c>
      <c r="K167" s="2" t="s">
        <v>1450</v>
      </c>
      <c r="L167" s="2" t="s">
        <v>443</v>
      </c>
      <c r="M167" s="2" t="s">
        <v>1456</v>
      </c>
      <c r="N167" s="2" t="s">
        <v>97</v>
      </c>
      <c r="O167" s="2" t="s">
        <v>734</v>
      </c>
      <c r="P167" s="2" t="s">
        <v>734</v>
      </c>
      <c r="Q167" s="2" t="s">
        <v>391</v>
      </c>
      <c r="R167" s="2" t="s">
        <v>734</v>
      </c>
      <c r="S167" s="2" t="s">
        <v>734</v>
      </c>
      <c r="T167" s="2" t="s">
        <v>734</v>
      </c>
      <c r="U167" s="2" t="s">
        <v>734</v>
      </c>
      <c r="V167" s="2" t="s">
        <v>1452</v>
      </c>
      <c r="W167" s="2">
        <v>0.05</v>
      </c>
      <c r="X167" s="2" t="s">
        <v>107</v>
      </c>
      <c r="Y167" s="2" t="s">
        <v>1453</v>
      </c>
      <c r="Z167" s="2" t="s">
        <v>107</v>
      </c>
      <c r="AA167" s="2" t="s">
        <v>107</v>
      </c>
      <c r="AB167" s="2">
        <v>0</v>
      </c>
      <c r="AC167" s="2" t="s">
        <v>715</v>
      </c>
      <c r="AD167" s="2" t="s">
        <v>1457</v>
      </c>
      <c r="AE167" s="2" t="s">
        <v>399</v>
      </c>
      <c r="AF167" s="2" t="s">
        <v>261</v>
      </c>
      <c r="AG167" s="2"/>
    </row>
    <row r="168" spans="1:33" ht="28">
      <c r="A168" s="2" t="s">
        <v>1458</v>
      </c>
      <c r="B168" s="2" t="s">
        <v>256</v>
      </c>
      <c r="C168" s="2">
        <v>2020</v>
      </c>
      <c r="D168" s="2" t="s">
        <v>126</v>
      </c>
      <c r="E168" s="3" t="b">
        <v>1</v>
      </c>
      <c r="F168" s="2" t="s">
        <v>120</v>
      </c>
      <c r="G168" s="2" t="s">
        <v>260</v>
      </c>
      <c r="H168" s="2" t="s">
        <v>98</v>
      </c>
      <c r="I168" s="2" t="s">
        <v>1448</v>
      </c>
      <c r="J168" s="2" t="s">
        <v>1449</v>
      </c>
      <c r="K168" s="2" t="s">
        <v>1450</v>
      </c>
      <c r="L168" s="2" t="s">
        <v>443</v>
      </c>
      <c r="M168" s="2" t="s">
        <v>1459</v>
      </c>
      <c r="N168" s="2" t="s">
        <v>97</v>
      </c>
      <c r="O168" s="2" t="s">
        <v>734</v>
      </c>
      <c r="P168" s="2" t="s">
        <v>734</v>
      </c>
      <c r="Q168" s="2" t="s">
        <v>391</v>
      </c>
      <c r="R168" s="2" t="s">
        <v>734</v>
      </c>
      <c r="S168" s="2" t="s">
        <v>734</v>
      </c>
      <c r="T168" s="2" t="s">
        <v>734</v>
      </c>
      <c r="U168" s="2" t="s">
        <v>734</v>
      </c>
      <c r="V168" s="2" t="s">
        <v>1452</v>
      </c>
      <c r="W168" s="2">
        <v>0.05</v>
      </c>
      <c r="X168" s="2" t="s">
        <v>107</v>
      </c>
      <c r="Y168" s="2" t="s">
        <v>1453</v>
      </c>
      <c r="Z168" s="2" t="s">
        <v>107</v>
      </c>
      <c r="AA168" s="2" t="s">
        <v>107</v>
      </c>
      <c r="AB168" s="2">
        <v>0</v>
      </c>
      <c r="AC168" s="2" t="s">
        <v>715</v>
      </c>
      <c r="AD168" s="2" t="s">
        <v>1460</v>
      </c>
      <c r="AE168" s="2" t="s">
        <v>399</v>
      </c>
      <c r="AF168" s="2" t="s">
        <v>261</v>
      </c>
      <c r="AG168" s="2"/>
    </row>
    <row r="169" spans="1:33" ht="28">
      <c r="A169" s="2" t="s">
        <v>1461</v>
      </c>
      <c r="B169" s="2" t="s">
        <v>256</v>
      </c>
      <c r="C169" s="2">
        <v>2020</v>
      </c>
      <c r="D169" s="2" t="s">
        <v>126</v>
      </c>
      <c r="E169" s="3" t="b">
        <v>1</v>
      </c>
      <c r="F169" s="2" t="s">
        <v>120</v>
      </c>
      <c r="G169" s="2" t="s">
        <v>260</v>
      </c>
      <c r="H169" s="2" t="s">
        <v>98</v>
      </c>
      <c r="I169" s="2" t="s">
        <v>1448</v>
      </c>
      <c r="J169" s="2" t="s">
        <v>1449</v>
      </c>
      <c r="K169" s="2" t="s">
        <v>1450</v>
      </c>
      <c r="L169" s="2" t="s">
        <v>443</v>
      </c>
      <c r="M169" s="2" t="s">
        <v>1462</v>
      </c>
      <c r="N169" s="2" t="s">
        <v>97</v>
      </c>
      <c r="O169" s="2" t="s">
        <v>734</v>
      </c>
      <c r="P169" s="2" t="s">
        <v>734</v>
      </c>
      <c r="Q169" s="2" t="s">
        <v>391</v>
      </c>
      <c r="R169" s="2" t="s">
        <v>734</v>
      </c>
      <c r="S169" s="2" t="s">
        <v>734</v>
      </c>
      <c r="T169" s="2" t="s">
        <v>734</v>
      </c>
      <c r="U169" s="2" t="s">
        <v>734</v>
      </c>
      <c r="V169" s="2" t="s">
        <v>1452</v>
      </c>
      <c r="W169" s="2">
        <v>0.05</v>
      </c>
      <c r="X169" s="2" t="s">
        <v>107</v>
      </c>
      <c r="Y169" s="2" t="s">
        <v>1453</v>
      </c>
      <c r="Z169" s="2" t="s">
        <v>107</v>
      </c>
      <c r="AA169" s="2" t="s">
        <v>107</v>
      </c>
      <c r="AB169" s="2">
        <v>0</v>
      </c>
      <c r="AC169" s="2" t="s">
        <v>715</v>
      </c>
      <c r="AD169" s="2" t="s">
        <v>1463</v>
      </c>
      <c r="AE169" s="2" t="s">
        <v>399</v>
      </c>
      <c r="AF169" s="2" t="s">
        <v>261</v>
      </c>
      <c r="AG169" s="2"/>
    </row>
    <row r="170" spans="1:33" ht="28">
      <c r="A170" s="2" t="s">
        <v>1464</v>
      </c>
      <c r="B170" s="2" t="s">
        <v>256</v>
      </c>
      <c r="C170" s="2">
        <v>2020</v>
      </c>
      <c r="D170" s="2" t="s">
        <v>126</v>
      </c>
      <c r="E170" s="3" t="b">
        <v>1</v>
      </c>
      <c r="F170" s="2" t="s">
        <v>120</v>
      </c>
      <c r="G170" s="2" t="s">
        <v>260</v>
      </c>
      <c r="H170" s="2" t="s">
        <v>98</v>
      </c>
      <c r="I170" s="2" t="s">
        <v>1448</v>
      </c>
      <c r="J170" s="2" t="s">
        <v>1449</v>
      </c>
      <c r="K170" s="2" t="s">
        <v>1450</v>
      </c>
      <c r="L170" s="2" t="s">
        <v>386</v>
      </c>
      <c r="M170" s="2" t="s">
        <v>1465</v>
      </c>
      <c r="N170" s="2" t="s">
        <v>97</v>
      </c>
      <c r="O170" s="2" t="s">
        <v>1466</v>
      </c>
      <c r="P170" s="2" t="s">
        <v>1467</v>
      </c>
      <c r="Q170" s="2" t="s">
        <v>391</v>
      </c>
      <c r="R170" s="2" t="s">
        <v>1468</v>
      </c>
      <c r="S170" s="2" t="s">
        <v>1467</v>
      </c>
      <c r="T170" s="2" t="s">
        <v>734</v>
      </c>
      <c r="U170" s="2" t="s">
        <v>734</v>
      </c>
      <c r="V170" s="2" t="s">
        <v>1469</v>
      </c>
      <c r="W170" s="2">
        <v>0.05</v>
      </c>
      <c r="X170" s="2" t="s">
        <v>483</v>
      </c>
      <c r="Y170" s="2" t="s">
        <v>1470</v>
      </c>
      <c r="Z170" s="2" t="s">
        <v>107</v>
      </c>
      <c r="AA170" s="2" t="s">
        <v>107</v>
      </c>
      <c r="AB170" s="2">
        <v>1</v>
      </c>
      <c r="AC170" s="2" t="s">
        <v>397</v>
      </c>
      <c r="AD170" s="2" t="s">
        <v>1436</v>
      </c>
      <c r="AE170" s="2" t="s">
        <v>399</v>
      </c>
      <c r="AF170" s="2" t="s">
        <v>261</v>
      </c>
      <c r="AG170" s="2"/>
    </row>
    <row r="171" spans="1:33">
      <c r="A171" s="2" t="s">
        <v>1471</v>
      </c>
      <c r="B171" s="2" t="s">
        <v>256</v>
      </c>
      <c r="C171" s="2">
        <v>2020</v>
      </c>
      <c r="D171" s="2" t="s">
        <v>126</v>
      </c>
      <c r="E171" s="3" t="b">
        <v>1</v>
      </c>
      <c r="F171" s="2" t="s">
        <v>120</v>
      </c>
      <c r="G171" s="2" t="s">
        <v>260</v>
      </c>
      <c r="H171" s="2" t="s">
        <v>98</v>
      </c>
      <c r="I171" s="2" t="s">
        <v>1448</v>
      </c>
      <c r="J171" s="2" t="s">
        <v>1449</v>
      </c>
      <c r="K171" s="2" t="s">
        <v>1450</v>
      </c>
      <c r="L171" s="2" t="s">
        <v>386</v>
      </c>
      <c r="M171" s="2" t="s">
        <v>1472</v>
      </c>
      <c r="N171" s="2" t="s">
        <v>97</v>
      </c>
      <c r="O171" s="2" t="s">
        <v>1473</v>
      </c>
      <c r="P171" s="2" t="s">
        <v>1467</v>
      </c>
      <c r="Q171" s="2" t="s">
        <v>391</v>
      </c>
      <c r="R171" s="2" t="s">
        <v>1474</v>
      </c>
      <c r="S171" s="2" t="s">
        <v>1467</v>
      </c>
      <c r="T171" s="2" t="s">
        <v>734</v>
      </c>
      <c r="U171" s="2" t="s">
        <v>734</v>
      </c>
      <c r="V171" s="2" t="s">
        <v>1469</v>
      </c>
      <c r="W171" s="2">
        <v>0.05</v>
      </c>
      <c r="X171" s="2" t="s">
        <v>483</v>
      </c>
      <c r="Y171" s="2" t="s">
        <v>1169</v>
      </c>
      <c r="Z171" s="2" t="s">
        <v>107</v>
      </c>
      <c r="AA171" s="2" t="s">
        <v>107</v>
      </c>
      <c r="AB171" s="2">
        <v>-1</v>
      </c>
      <c r="AC171" s="2" t="s">
        <v>407</v>
      </c>
      <c r="AD171" s="2" t="s">
        <v>1444</v>
      </c>
      <c r="AE171" s="2" t="s">
        <v>399</v>
      </c>
      <c r="AF171" s="2" t="s">
        <v>261</v>
      </c>
      <c r="AG171" s="2"/>
    </row>
    <row r="172" spans="1:33">
      <c r="A172" s="2" t="s">
        <v>1475</v>
      </c>
      <c r="B172" s="2" t="s">
        <v>256</v>
      </c>
      <c r="C172" s="2">
        <v>2020</v>
      </c>
      <c r="D172" s="2" t="s">
        <v>126</v>
      </c>
      <c r="E172" s="3" t="b">
        <v>1</v>
      </c>
      <c r="F172" s="2" t="s">
        <v>120</v>
      </c>
      <c r="G172" s="2" t="s">
        <v>260</v>
      </c>
      <c r="H172" s="2" t="s">
        <v>98</v>
      </c>
      <c r="I172" s="2" t="s">
        <v>1448</v>
      </c>
      <c r="J172" s="2" t="s">
        <v>1449</v>
      </c>
      <c r="K172" s="2" t="s">
        <v>1450</v>
      </c>
      <c r="L172" s="2" t="s">
        <v>386</v>
      </c>
      <c r="M172" s="2" t="s">
        <v>1476</v>
      </c>
      <c r="N172" s="2" t="s">
        <v>97</v>
      </c>
      <c r="O172" s="2" t="s">
        <v>1473</v>
      </c>
      <c r="P172" s="2" t="s">
        <v>1467</v>
      </c>
      <c r="Q172" s="2" t="s">
        <v>391</v>
      </c>
      <c r="R172" s="2" t="s">
        <v>1474</v>
      </c>
      <c r="S172" s="2" t="s">
        <v>1467</v>
      </c>
      <c r="T172" s="2" t="s">
        <v>734</v>
      </c>
      <c r="U172" s="2" t="s">
        <v>734</v>
      </c>
      <c r="V172" s="2" t="s">
        <v>1469</v>
      </c>
      <c r="W172" s="2">
        <v>0.05</v>
      </c>
      <c r="X172" s="2" t="s">
        <v>483</v>
      </c>
      <c r="Y172" s="2" t="s">
        <v>1477</v>
      </c>
      <c r="Z172" s="2" t="s">
        <v>107</v>
      </c>
      <c r="AA172" s="2" t="s">
        <v>107</v>
      </c>
      <c r="AB172" s="2">
        <v>-1</v>
      </c>
      <c r="AC172" s="2" t="s">
        <v>407</v>
      </c>
      <c r="AD172" s="2" t="s">
        <v>1444</v>
      </c>
      <c r="AE172" s="2" t="s">
        <v>399</v>
      </c>
      <c r="AF172" s="2" t="s">
        <v>261</v>
      </c>
      <c r="AG172" s="2"/>
    </row>
    <row r="173" spans="1:33">
      <c r="A173" s="2" t="s">
        <v>1478</v>
      </c>
      <c r="B173" s="2" t="s">
        <v>256</v>
      </c>
      <c r="C173" s="2">
        <v>2020</v>
      </c>
      <c r="D173" s="2" t="s">
        <v>126</v>
      </c>
      <c r="E173" s="3" t="b">
        <v>1</v>
      </c>
      <c r="F173" s="2" t="s">
        <v>120</v>
      </c>
      <c r="G173" s="2" t="s">
        <v>260</v>
      </c>
      <c r="H173" s="2" t="s">
        <v>98</v>
      </c>
      <c r="I173" s="2" t="s">
        <v>1448</v>
      </c>
      <c r="J173" s="2" t="s">
        <v>1449</v>
      </c>
      <c r="K173" s="2" t="s">
        <v>1450</v>
      </c>
      <c r="L173" s="2" t="s">
        <v>386</v>
      </c>
      <c r="M173" s="2" t="s">
        <v>1479</v>
      </c>
      <c r="N173" s="2" t="s">
        <v>97</v>
      </c>
      <c r="O173" s="2" t="s">
        <v>1473</v>
      </c>
      <c r="P173" s="2" t="s">
        <v>1467</v>
      </c>
      <c r="Q173" s="2" t="s">
        <v>391</v>
      </c>
      <c r="R173" s="2" t="s">
        <v>1474</v>
      </c>
      <c r="S173" s="2" t="s">
        <v>1467</v>
      </c>
      <c r="T173" s="2" t="s">
        <v>734</v>
      </c>
      <c r="U173" s="2" t="s">
        <v>734</v>
      </c>
      <c r="V173" s="2" t="s">
        <v>1469</v>
      </c>
      <c r="W173" s="2">
        <v>0.05</v>
      </c>
      <c r="X173" s="2" t="s">
        <v>483</v>
      </c>
      <c r="Y173" s="2" t="s">
        <v>1169</v>
      </c>
      <c r="Z173" s="2" t="s">
        <v>107</v>
      </c>
      <c r="AA173" s="2" t="s">
        <v>107</v>
      </c>
      <c r="AB173" s="2">
        <v>-1</v>
      </c>
      <c r="AC173" s="2" t="s">
        <v>407</v>
      </c>
      <c r="AD173" s="2" t="s">
        <v>1444</v>
      </c>
      <c r="AE173" s="2" t="s">
        <v>399</v>
      </c>
      <c r="AF173" s="2" t="s">
        <v>261</v>
      </c>
      <c r="AG173" s="2"/>
    </row>
    <row r="174" spans="1:33">
      <c r="A174" s="2" t="s">
        <v>1480</v>
      </c>
      <c r="B174" s="2" t="s">
        <v>256</v>
      </c>
      <c r="C174" s="2">
        <v>2020</v>
      </c>
      <c r="D174" s="2" t="s">
        <v>126</v>
      </c>
      <c r="E174" s="3" t="b">
        <v>1</v>
      </c>
      <c r="F174" s="2" t="s">
        <v>120</v>
      </c>
      <c r="G174" s="2" t="s">
        <v>260</v>
      </c>
      <c r="H174" s="2" t="s">
        <v>98</v>
      </c>
      <c r="I174" s="2" t="s">
        <v>1347</v>
      </c>
      <c r="J174" s="2" t="s">
        <v>690</v>
      </c>
      <c r="K174" s="2" t="s">
        <v>1481</v>
      </c>
      <c r="L174" s="2" t="s">
        <v>410</v>
      </c>
      <c r="M174" s="2" t="s">
        <v>1482</v>
      </c>
      <c r="N174" s="2" t="s">
        <v>1483</v>
      </c>
      <c r="O174" s="2" t="s">
        <v>1484</v>
      </c>
      <c r="P174" s="2" t="s">
        <v>1467</v>
      </c>
      <c r="Q174" s="2" t="s">
        <v>1467</v>
      </c>
      <c r="R174" s="2" t="s">
        <v>1467</v>
      </c>
      <c r="S174" s="2" t="s">
        <v>1467</v>
      </c>
      <c r="T174" s="2" t="s">
        <v>1485</v>
      </c>
      <c r="U174" s="2" t="s">
        <v>734</v>
      </c>
      <c r="V174" s="2" t="s">
        <v>1486</v>
      </c>
      <c r="W174" s="2">
        <v>0.05</v>
      </c>
      <c r="X174" s="2" t="s">
        <v>483</v>
      </c>
      <c r="Y174" s="2" t="s">
        <v>1487</v>
      </c>
      <c r="Z174" s="2" t="s">
        <v>107</v>
      </c>
      <c r="AA174" s="2" t="s">
        <v>107</v>
      </c>
      <c r="AB174" s="2">
        <v>0</v>
      </c>
      <c r="AC174" s="2" t="s">
        <v>715</v>
      </c>
      <c r="AD174" s="2" t="s">
        <v>1488</v>
      </c>
      <c r="AE174" s="2" t="s">
        <v>399</v>
      </c>
      <c r="AF174" s="2" t="s">
        <v>261</v>
      </c>
      <c r="AG174" s="2"/>
    </row>
    <row r="175" spans="1:33">
      <c r="A175" s="2" t="s">
        <v>1489</v>
      </c>
      <c r="B175" s="2" t="s">
        <v>256</v>
      </c>
      <c r="C175" s="2">
        <v>2020</v>
      </c>
      <c r="D175" s="2" t="s">
        <v>126</v>
      </c>
      <c r="E175" s="3" t="b">
        <v>1</v>
      </c>
      <c r="F175" s="2" t="s">
        <v>120</v>
      </c>
      <c r="G175" s="2" t="s">
        <v>260</v>
      </c>
      <c r="H175" s="2" t="s">
        <v>98</v>
      </c>
      <c r="I175" s="2" t="s">
        <v>1347</v>
      </c>
      <c r="J175" s="2" t="s">
        <v>690</v>
      </c>
      <c r="K175" s="2" t="s">
        <v>1490</v>
      </c>
      <c r="L175" s="2" t="s">
        <v>410</v>
      </c>
      <c r="M175" s="2" t="s">
        <v>1482</v>
      </c>
      <c r="N175" s="2" t="s">
        <v>1483</v>
      </c>
      <c r="O175" s="2" t="s">
        <v>1484</v>
      </c>
      <c r="P175" s="2" t="s">
        <v>1467</v>
      </c>
      <c r="Q175" s="2" t="s">
        <v>1467</v>
      </c>
      <c r="R175" s="2" t="s">
        <v>1467</v>
      </c>
      <c r="S175" s="2" t="s">
        <v>1467</v>
      </c>
      <c r="T175" s="2" t="s">
        <v>1485</v>
      </c>
      <c r="U175" s="2" t="s">
        <v>734</v>
      </c>
      <c r="V175" s="2" t="s">
        <v>1486</v>
      </c>
      <c r="W175" s="2">
        <v>0.05</v>
      </c>
      <c r="X175" s="2" t="s">
        <v>483</v>
      </c>
      <c r="Y175" s="2" t="s">
        <v>1487</v>
      </c>
      <c r="Z175" s="2" t="s">
        <v>107</v>
      </c>
      <c r="AA175" s="2" t="s">
        <v>107</v>
      </c>
      <c r="AB175" s="2">
        <v>0</v>
      </c>
      <c r="AC175" s="2" t="s">
        <v>715</v>
      </c>
      <c r="AD175" s="2" t="s">
        <v>1491</v>
      </c>
      <c r="AE175" s="2" t="s">
        <v>399</v>
      </c>
      <c r="AF175" s="2" t="s">
        <v>261</v>
      </c>
      <c r="AG175" s="2"/>
    </row>
    <row r="176" spans="1:33" ht="28">
      <c r="A176" s="2" t="s">
        <v>1492</v>
      </c>
      <c r="B176" s="2" t="s">
        <v>265</v>
      </c>
      <c r="C176" s="2">
        <v>2020</v>
      </c>
      <c r="D176" s="2" t="s">
        <v>267</v>
      </c>
      <c r="E176" s="3" t="b">
        <v>1</v>
      </c>
      <c r="F176" s="2" t="s">
        <v>120</v>
      </c>
      <c r="G176" s="2" t="s">
        <v>1493</v>
      </c>
      <c r="H176" s="2" t="s">
        <v>98</v>
      </c>
      <c r="I176" s="2" t="s">
        <v>1494</v>
      </c>
      <c r="J176" s="2" t="s">
        <v>1449</v>
      </c>
      <c r="K176" s="2" t="s">
        <v>1495</v>
      </c>
      <c r="L176" s="2" t="s">
        <v>443</v>
      </c>
      <c r="M176" s="2" t="s">
        <v>1496</v>
      </c>
      <c r="N176" s="2" t="s">
        <v>1497</v>
      </c>
      <c r="O176" s="2" t="s">
        <v>1498</v>
      </c>
      <c r="P176" s="2" t="s">
        <v>1467</v>
      </c>
      <c r="Q176" s="2" t="s">
        <v>1499</v>
      </c>
      <c r="R176" s="2" t="s">
        <v>1500</v>
      </c>
      <c r="S176" s="2" t="s">
        <v>1467</v>
      </c>
      <c r="T176" s="2" t="s">
        <v>734</v>
      </c>
      <c r="U176" s="2" t="s">
        <v>734</v>
      </c>
      <c r="V176" s="2">
        <v>0.05</v>
      </c>
      <c r="W176" s="2">
        <v>0.05</v>
      </c>
      <c r="X176" s="2" t="s">
        <v>483</v>
      </c>
      <c r="Y176" s="2" t="s">
        <v>1501</v>
      </c>
      <c r="Z176" s="2" t="s">
        <v>107</v>
      </c>
      <c r="AA176" s="2" t="s">
        <v>107</v>
      </c>
      <c r="AB176" s="2">
        <v>-1</v>
      </c>
      <c r="AC176" s="2" t="s">
        <v>407</v>
      </c>
      <c r="AD176" s="2" t="s">
        <v>1502</v>
      </c>
      <c r="AE176" s="2" t="s">
        <v>399</v>
      </c>
      <c r="AF176" s="2" t="s">
        <v>272</v>
      </c>
      <c r="AG176" s="2"/>
    </row>
    <row r="177" spans="1:33" ht="28">
      <c r="A177" s="2" t="s">
        <v>1503</v>
      </c>
      <c r="B177" s="2" t="s">
        <v>265</v>
      </c>
      <c r="C177" s="2">
        <v>2020</v>
      </c>
      <c r="D177" s="2" t="s">
        <v>267</v>
      </c>
      <c r="E177" s="3" t="b">
        <v>1</v>
      </c>
      <c r="F177" s="2" t="s">
        <v>120</v>
      </c>
      <c r="G177" s="2" t="s">
        <v>1493</v>
      </c>
      <c r="H177" s="2" t="s">
        <v>98</v>
      </c>
      <c r="I177" s="2" t="s">
        <v>1494</v>
      </c>
      <c r="J177" s="2" t="s">
        <v>1449</v>
      </c>
      <c r="K177" s="2" t="s">
        <v>1495</v>
      </c>
      <c r="L177" s="2" t="s">
        <v>443</v>
      </c>
      <c r="M177" s="2" t="s">
        <v>1459</v>
      </c>
      <c r="N177" s="2" t="s">
        <v>1497</v>
      </c>
      <c r="O177" s="2" t="s">
        <v>1504</v>
      </c>
      <c r="P177" s="2" t="s">
        <v>1467</v>
      </c>
      <c r="Q177" s="2" t="s">
        <v>1499</v>
      </c>
      <c r="R177" s="2" t="s">
        <v>1505</v>
      </c>
      <c r="S177" s="2" t="s">
        <v>1467</v>
      </c>
      <c r="T177" s="2" t="s">
        <v>734</v>
      </c>
      <c r="U177" s="2" t="s">
        <v>734</v>
      </c>
      <c r="V177" s="2">
        <v>2E-3</v>
      </c>
      <c r="W177" s="2">
        <v>2E-3</v>
      </c>
      <c r="X177" s="2" t="s">
        <v>395</v>
      </c>
      <c r="Y177" s="2" t="s">
        <v>1501</v>
      </c>
      <c r="Z177" s="2" t="s">
        <v>107</v>
      </c>
      <c r="AA177" s="2" t="s">
        <v>107</v>
      </c>
      <c r="AB177" s="2">
        <v>-1</v>
      </c>
      <c r="AC177" s="2" t="s">
        <v>407</v>
      </c>
      <c r="AD177" s="2" t="s">
        <v>1506</v>
      </c>
      <c r="AE177" s="2" t="s">
        <v>399</v>
      </c>
      <c r="AF177" s="2" t="s">
        <v>272</v>
      </c>
      <c r="AG177" s="2"/>
    </row>
    <row r="178" spans="1:33" ht="28">
      <c r="A178" s="2" t="s">
        <v>1507</v>
      </c>
      <c r="B178" s="2" t="s">
        <v>265</v>
      </c>
      <c r="C178" s="2">
        <v>2020</v>
      </c>
      <c r="D178" s="2" t="s">
        <v>267</v>
      </c>
      <c r="E178" s="3" t="b">
        <v>1</v>
      </c>
      <c r="F178" s="2" t="s">
        <v>120</v>
      </c>
      <c r="G178" s="2" t="s">
        <v>1508</v>
      </c>
      <c r="H178" s="2" t="s">
        <v>98</v>
      </c>
      <c r="I178" s="2" t="s">
        <v>1509</v>
      </c>
      <c r="J178" s="2" t="s">
        <v>1348</v>
      </c>
      <c r="K178" s="2" t="s">
        <v>1510</v>
      </c>
      <c r="L178" s="2" t="s">
        <v>443</v>
      </c>
      <c r="M178" s="2" t="s">
        <v>1511</v>
      </c>
      <c r="N178" s="2" t="s">
        <v>97</v>
      </c>
      <c r="O178" s="2" t="s">
        <v>1512</v>
      </c>
      <c r="P178" s="2" t="s">
        <v>1467</v>
      </c>
      <c r="Q178" s="2" t="s">
        <v>1467</v>
      </c>
      <c r="R178" s="2" t="s">
        <v>1467</v>
      </c>
      <c r="S178" s="2" t="s">
        <v>1467</v>
      </c>
      <c r="T178" s="2" t="s">
        <v>734</v>
      </c>
      <c r="U178" s="2" t="s">
        <v>734</v>
      </c>
      <c r="V178" s="2" t="s">
        <v>1513</v>
      </c>
      <c r="W178" s="2">
        <v>0.05</v>
      </c>
      <c r="X178" s="2" t="s">
        <v>483</v>
      </c>
      <c r="Y178" s="2" t="s">
        <v>1514</v>
      </c>
      <c r="Z178" s="2" t="s">
        <v>107</v>
      </c>
      <c r="AA178" s="2" t="s">
        <v>107</v>
      </c>
      <c r="AB178" s="2">
        <v>-1</v>
      </c>
      <c r="AC178" s="2" t="s">
        <v>407</v>
      </c>
      <c r="AD178" s="2" t="s">
        <v>1515</v>
      </c>
      <c r="AE178" s="2" t="s">
        <v>399</v>
      </c>
      <c r="AF178" s="2" t="s">
        <v>272</v>
      </c>
      <c r="AG178" s="2"/>
    </row>
    <row r="179" spans="1:33" ht="28">
      <c r="A179" s="2" t="s">
        <v>1516</v>
      </c>
      <c r="B179" s="2" t="s">
        <v>265</v>
      </c>
      <c r="C179" s="2">
        <v>2020</v>
      </c>
      <c r="D179" s="2" t="s">
        <v>267</v>
      </c>
      <c r="E179" s="3" t="b">
        <v>1</v>
      </c>
      <c r="F179" s="2" t="s">
        <v>120</v>
      </c>
      <c r="G179" s="2" t="s">
        <v>1508</v>
      </c>
      <c r="H179" s="2" t="s">
        <v>98</v>
      </c>
      <c r="I179" s="2" t="s">
        <v>1509</v>
      </c>
      <c r="J179" s="2" t="s">
        <v>690</v>
      </c>
      <c r="K179" s="2" t="s">
        <v>1517</v>
      </c>
      <c r="L179" s="2" t="s">
        <v>580</v>
      </c>
      <c r="M179" s="2" t="s">
        <v>1518</v>
      </c>
      <c r="N179" s="2" t="s">
        <v>97</v>
      </c>
      <c r="O179" s="2" t="s">
        <v>1519</v>
      </c>
      <c r="P179" s="2" t="s">
        <v>1467</v>
      </c>
      <c r="Q179" s="2" t="s">
        <v>1467</v>
      </c>
      <c r="R179" s="2" t="s">
        <v>1467</v>
      </c>
      <c r="S179" s="2" t="s">
        <v>1467</v>
      </c>
      <c r="T179" s="2" t="s">
        <v>1520</v>
      </c>
      <c r="U179" s="2" t="s">
        <v>734</v>
      </c>
      <c r="V179" s="2">
        <v>2.3E-2</v>
      </c>
      <c r="W179" s="2">
        <v>2.3E-2</v>
      </c>
      <c r="X179" s="2" t="s">
        <v>395</v>
      </c>
      <c r="Y179" s="2" t="s">
        <v>1487</v>
      </c>
      <c r="Z179" s="2" t="s">
        <v>107</v>
      </c>
      <c r="AA179" s="2" t="s">
        <v>107</v>
      </c>
      <c r="AB179" s="2">
        <v>1</v>
      </c>
      <c r="AC179" s="2" t="s">
        <v>397</v>
      </c>
      <c r="AD179" s="2" t="s">
        <v>1521</v>
      </c>
      <c r="AE179" s="2" t="s">
        <v>399</v>
      </c>
      <c r="AF179" s="2" t="s">
        <v>272</v>
      </c>
      <c r="AG179" s="2"/>
    </row>
    <row r="180" spans="1:33" ht="28">
      <c r="A180" s="2" t="s">
        <v>1522</v>
      </c>
      <c r="B180" s="2" t="s">
        <v>265</v>
      </c>
      <c r="C180" s="2">
        <v>2020</v>
      </c>
      <c r="D180" s="2" t="s">
        <v>267</v>
      </c>
      <c r="E180" s="3" t="b">
        <v>1</v>
      </c>
      <c r="F180" s="2" t="s">
        <v>120</v>
      </c>
      <c r="G180" s="2" t="s">
        <v>1508</v>
      </c>
      <c r="H180" s="2" t="s">
        <v>98</v>
      </c>
      <c r="I180" s="2" t="s">
        <v>1509</v>
      </c>
      <c r="J180" s="2" t="s">
        <v>690</v>
      </c>
      <c r="K180" s="2" t="s">
        <v>1517</v>
      </c>
      <c r="L180" s="2" t="s">
        <v>580</v>
      </c>
      <c r="M180" s="2" t="s">
        <v>1523</v>
      </c>
      <c r="N180" s="2" t="s">
        <v>97</v>
      </c>
      <c r="O180" s="2" t="s">
        <v>1524</v>
      </c>
      <c r="P180" s="2" t="s">
        <v>1467</v>
      </c>
      <c r="Q180" s="2" t="s">
        <v>1467</v>
      </c>
      <c r="R180" s="2" t="s">
        <v>1467</v>
      </c>
      <c r="S180" s="2" t="s">
        <v>1467</v>
      </c>
      <c r="T180" s="2" t="s">
        <v>1525</v>
      </c>
      <c r="U180" s="2" t="s">
        <v>734</v>
      </c>
      <c r="V180" s="2">
        <v>2E-3</v>
      </c>
      <c r="W180" s="2">
        <v>2E-3</v>
      </c>
      <c r="X180" s="2" t="s">
        <v>395</v>
      </c>
      <c r="Y180" s="2" t="s">
        <v>1487</v>
      </c>
      <c r="Z180" s="2" t="s">
        <v>107</v>
      </c>
      <c r="AA180" s="2" t="s">
        <v>107</v>
      </c>
      <c r="AB180" s="2">
        <v>1</v>
      </c>
      <c r="AC180" s="2" t="s">
        <v>397</v>
      </c>
      <c r="AD180" s="2" t="s">
        <v>1526</v>
      </c>
      <c r="AE180" s="2" t="s">
        <v>399</v>
      </c>
      <c r="AF180" s="2" t="s">
        <v>272</v>
      </c>
      <c r="AG180" s="2"/>
    </row>
    <row r="181" spans="1:33" ht="28">
      <c r="A181" s="2" t="s">
        <v>1527</v>
      </c>
      <c r="B181" s="2" t="s">
        <v>265</v>
      </c>
      <c r="C181" s="2">
        <v>2020</v>
      </c>
      <c r="D181" s="2" t="s">
        <v>267</v>
      </c>
      <c r="E181" s="3" t="b">
        <v>1</v>
      </c>
      <c r="F181" s="2" t="s">
        <v>120</v>
      </c>
      <c r="G181" s="2" t="s">
        <v>1508</v>
      </c>
      <c r="H181" s="2" t="s">
        <v>98</v>
      </c>
      <c r="I181" s="2" t="s">
        <v>1509</v>
      </c>
      <c r="J181" s="2" t="s">
        <v>690</v>
      </c>
      <c r="K181" s="2" t="s">
        <v>1517</v>
      </c>
      <c r="L181" s="2" t="s">
        <v>580</v>
      </c>
      <c r="M181" s="2" t="s">
        <v>1528</v>
      </c>
      <c r="N181" s="2" t="s">
        <v>97</v>
      </c>
      <c r="O181" s="2" t="s">
        <v>1529</v>
      </c>
      <c r="P181" s="2" t="s">
        <v>1467</v>
      </c>
      <c r="Q181" s="2" t="s">
        <v>1467</v>
      </c>
      <c r="R181" s="2" t="s">
        <v>1467</v>
      </c>
      <c r="S181" s="2" t="s">
        <v>1467</v>
      </c>
      <c r="T181" s="2" t="s">
        <v>1530</v>
      </c>
      <c r="U181" s="2" t="s">
        <v>734</v>
      </c>
      <c r="V181" s="2">
        <v>4.2000000000000003E-2</v>
      </c>
      <c r="W181" s="2">
        <v>4.2000000000000003E-2</v>
      </c>
      <c r="X181" s="2" t="s">
        <v>395</v>
      </c>
      <c r="Y181" s="2" t="s">
        <v>1487</v>
      </c>
      <c r="Z181" s="2" t="s">
        <v>107</v>
      </c>
      <c r="AA181" s="2" t="s">
        <v>107</v>
      </c>
      <c r="AB181" s="2">
        <v>0</v>
      </c>
      <c r="AC181" s="2" t="s">
        <v>715</v>
      </c>
      <c r="AD181" s="2" t="s">
        <v>1531</v>
      </c>
      <c r="AE181" s="2" t="s">
        <v>399</v>
      </c>
      <c r="AF181" s="2" t="s">
        <v>272</v>
      </c>
      <c r="AG181" s="2"/>
    </row>
    <row r="182" spans="1:33" ht="28">
      <c r="A182" s="2" t="s">
        <v>1532</v>
      </c>
      <c r="B182" s="2" t="s">
        <v>265</v>
      </c>
      <c r="C182" s="2">
        <v>2020</v>
      </c>
      <c r="D182" s="2" t="s">
        <v>267</v>
      </c>
      <c r="E182" s="3" t="b">
        <v>1</v>
      </c>
      <c r="F182" s="2" t="s">
        <v>120</v>
      </c>
      <c r="G182" s="2" t="s">
        <v>1508</v>
      </c>
      <c r="H182" s="2" t="s">
        <v>98</v>
      </c>
      <c r="I182" s="2" t="s">
        <v>1509</v>
      </c>
      <c r="J182" s="2" t="s">
        <v>690</v>
      </c>
      <c r="K182" s="2" t="s">
        <v>1517</v>
      </c>
      <c r="L182" s="2" t="s">
        <v>580</v>
      </c>
      <c r="M182" s="2" t="s">
        <v>1533</v>
      </c>
      <c r="N182" s="2" t="s">
        <v>97</v>
      </c>
      <c r="O182" s="2" t="s">
        <v>1534</v>
      </c>
      <c r="P182" s="2" t="s">
        <v>1467</v>
      </c>
      <c r="Q182" s="2" t="s">
        <v>1467</v>
      </c>
      <c r="R182" s="2" t="s">
        <v>1467</v>
      </c>
      <c r="S182" s="2" t="s">
        <v>1467</v>
      </c>
      <c r="T182" s="2" t="s">
        <v>1535</v>
      </c>
      <c r="U182" s="2" t="s">
        <v>734</v>
      </c>
      <c r="V182" s="2">
        <v>5.8000000000000003E-2</v>
      </c>
      <c r="W182" s="2">
        <v>5.8000000000000003E-2</v>
      </c>
      <c r="X182" s="2" t="s">
        <v>107</v>
      </c>
      <c r="Y182" s="2" t="s">
        <v>1487</v>
      </c>
      <c r="Z182" s="2" t="s">
        <v>107</v>
      </c>
      <c r="AA182" s="2" t="s">
        <v>107</v>
      </c>
      <c r="AB182" s="2">
        <v>0</v>
      </c>
      <c r="AC182" s="2" t="s">
        <v>715</v>
      </c>
      <c r="AD182" s="2" t="s">
        <v>1536</v>
      </c>
      <c r="AE182" s="2" t="s">
        <v>399</v>
      </c>
      <c r="AF182" s="2" t="s">
        <v>272</v>
      </c>
      <c r="AG182" s="2"/>
    </row>
    <row r="183" spans="1:33" ht="28">
      <c r="A183" s="2" t="s">
        <v>1537</v>
      </c>
      <c r="B183" s="2" t="s">
        <v>265</v>
      </c>
      <c r="C183" s="2">
        <v>2020</v>
      </c>
      <c r="D183" s="2" t="s">
        <v>267</v>
      </c>
      <c r="E183" s="3" t="b">
        <v>1</v>
      </c>
      <c r="F183" s="2" t="s">
        <v>120</v>
      </c>
      <c r="G183" s="2" t="s">
        <v>1508</v>
      </c>
      <c r="H183" s="2" t="s">
        <v>98</v>
      </c>
      <c r="I183" s="2" t="s">
        <v>1509</v>
      </c>
      <c r="J183" s="2" t="s">
        <v>690</v>
      </c>
      <c r="K183" s="2" t="s">
        <v>1517</v>
      </c>
      <c r="L183" s="2" t="s">
        <v>580</v>
      </c>
      <c r="M183" s="2" t="s">
        <v>1538</v>
      </c>
      <c r="N183" s="2" t="s">
        <v>97</v>
      </c>
      <c r="O183" s="2" t="s">
        <v>1534</v>
      </c>
      <c r="P183" s="2" t="s">
        <v>1467</v>
      </c>
      <c r="Q183" s="2" t="s">
        <v>1467</v>
      </c>
      <c r="R183" s="2" t="s">
        <v>1467</v>
      </c>
      <c r="S183" s="2" t="s">
        <v>1467</v>
      </c>
      <c r="T183" s="2" t="s">
        <v>1535</v>
      </c>
      <c r="U183" s="2" t="s">
        <v>734</v>
      </c>
      <c r="V183" s="2">
        <v>0.05</v>
      </c>
      <c r="W183" s="2">
        <v>0.05</v>
      </c>
      <c r="X183" s="2" t="s">
        <v>483</v>
      </c>
      <c r="Y183" s="2" t="s">
        <v>1487</v>
      </c>
      <c r="Z183" s="2" t="s">
        <v>107</v>
      </c>
      <c r="AA183" s="2" t="s">
        <v>107</v>
      </c>
      <c r="AB183" s="2">
        <v>0</v>
      </c>
      <c r="AC183" s="2" t="s">
        <v>715</v>
      </c>
      <c r="AD183" s="2" t="s">
        <v>1539</v>
      </c>
      <c r="AE183" s="2" t="s">
        <v>399</v>
      </c>
      <c r="AF183" s="2" t="s">
        <v>272</v>
      </c>
      <c r="AG183" s="2"/>
    </row>
    <row r="184" spans="1:33" ht="28">
      <c r="A184" s="2" t="s">
        <v>1540</v>
      </c>
      <c r="B184" s="2" t="s">
        <v>265</v>
      </c>
      <c r="C184" s="2">
        <v>2020</v>
      </c>
      <c r="D184" s="2" t="s">
        <v>267</v>
      </c>
      <c r="E184" s="3" t="b">
        <v>1</v>
      </c>
      <c r="F184" s="2" t="s">
        <v>120</v>
      </c>
      <c r="G184" s="2" t="s">
        <v>1508</v>
      </c>
      <c r="H184" s="2" t="s">
        <v>98</v>
      </c>
      <c r="I184" s="2" t="s">
        <v>1509</v>
      </c>
      <c r="J184" s="2" t="s">
        <v>690</v>
      </c>
      <c r="K184" s="2" t="s">
        <v>1541</v>
      </c>
      <c r="L184" s="2" t="s">
        <v>580</v>
      </c>
      <c r="M184" s="2" t="s">
        <v>1523</v>
      </c>
      <c r="N184" s="2" t="s">
        <v>97</v>
      </c>
      <c r="O184" s="2" t="s">
        <v>1542</v>
      </c>
      <c r="P184" s="2" t="s">
        <v>1467</v>
      </c>
      <c r="Q184" s="2" t="s">
        <v>1467</v>
      </c>
      <c r="R184" s="2" t="s">
        <v>1467</v>
      </c>
      <c r="S184" s="2" t="s">
        <v>1467</v>
      </c>
      <c r="T184" s="2">
        <v>0.42</v>
      </c>
      <c r="U184" s="2" t="s">
        <v>734</v>
      </c>
      <c r="V184" s="2">
        <v>8.9999999999999993E-3</v>
      </c>
      <c r="W184" s="2">
        <v>8.9999999999999993E-3</v>
      </c>
      <c r="X184" s="2" t="s">
        <v>395</v>
      </c>
      <c r="Y184" s="2" t="s">
        <v>1487</v>
      </c>
      <c r="Z184" s="2" t="s">
        <v>107</v>
      </c>
      <c r="AA184" s="2" t="s">
        <v>107</v>
      </c>
      <c r="AB184" s="2">
        <v>1</v>
      </c>
      <c r="AC184" s="2" t="s">
        <v>397</v>
      </c>
      <c r="AD184" s="2" t="s">
        <v>1543</v>
      </c>
      <c r="AE184" s="2" t="s">
        <v>399</v>
      </c>
      <c r="AF184" s="2" t="s">
        <v>272</v>
      </c>
      <c r="AG184" s="2"/>
    </row>
    <row r="185" spans="1:33" ht="28">
      <c r="A185" s="2" t="s">
        <v>1544</v>
      </c>
      <c r="B185" s="2" t="s">
        <v>265</v>
      </c>
      <c r="C185" s="2">
        <v>2020</v>
      </c>
      <c r="D185" s="2" t="s">
        <v>267</v>
      </c>
      <c r="E185" s="3" t="b">
        <v>1</v>
      </c>
      <c r="F185" s="2" t="s">
        <v>120</v>
      </c>
      <c r="G185" s="2" t="s">
        <v>1508</v>
      </c>
      <c r="H185" s="2" t="s">
        <v>98</v>
      </c>
      <c r="I185" s="2" t="s">
        <v>1509</v>
      </c>
      <c r="J185" s="2" t="s">
        <v>690</v>
      </c>
      <c r="K185" s="2" t="s">
        <v>1541</v>
      </c>
      <c r="L185" s="2" t="s">
        <v>580</v>
      </c>
      <c r="M185" s="2" t="s">
        <v>1528</v>
      </c>
      <c r="N185" s="2" t="s">
        <v>97</v>
      </c>
      <c r="O185" s="2" t="s">
        <v>1545</v>
      </c>
      <c r="P185" s="2" t="s">
        <v>1467</v>
      </c>
      <c r="Q185" s="2" t="s">
        <v>1467</v>
      </c>
      <c r="R185" s="2" t="s">
        <v>1467</v>
      </c>
      <c r="S185" s="2" t="s">
        <v>1467</v>
      </c>
      <c r="T185" s="2">
        <v>0.49</v>
      </c>
      <c r="U185" s="2" t="s">
        <v>734</v>
      </c>
      <c r="V185" s="2">
        <v>1E-3</v>
      </c>
      <c r="W185" s="2">
        <v>1E-3</v>
      </c>
      <c r="X185" s="2" t="s">
        <v>395</v>
      </c>
      <c r="Y185" s="2" t="s">
        <v>1487</v>
      </c>
      <c r="Z185" s="2" t="s">
        <v>107</v>
      </c>
      <c r="AA185" s="2" t="s">
        <v>107</v>
      </c>
      <c r="AB185" s="2">
        <v>1</v>
      </c>
      <c r="AC185" s="2" t="s">
        <v>397</v>
      </c>
      <c r="AD185" s="2" t="s">
        <v>1546</v>
      </c>
      <c r="AE185" s="2" t="s">
        <v>399</v>
      </c>
      <c r="AF185" s="2" t="s">
        <v>272</v>
      </c>
      <c r="AG185" s="2"/>
    </row>
    <row r="186" spans="1:33" ht="28">
      <c r="A186" s="2" t="s">
        <v>1547</v>
      </c>
      <c r="B186" s="2" t="s">
        <v>265</v>
      </c>
      <c r="C186" s="2">
        <v>2020</v>
      </c>
      <c r="D186" s="2" t="s">
        <v>267</v>
      </c>
      <c r="E186" s="3" t="b">
        <v>1</v>
      </c>
      <c r="F186" s="2" t="s">
        <v>120</v>
      </c>
      <c r="G186" s="2" t="s">
        <v>1508</v>
      </c>
      <c r="H186" s="2" t="s">
        <v>98</v>
      </c>
      <c r="I186" s="2" t="s">
        <v>1509</v>
      </c>
      <c r="J186" s="2" t="s">
        <v>690</v>
      </c>
      <c r="K186" s="2" t="s">
        <v>1548</v>
      </c>
      <c r="L186" s="2" t="s">
        <v>580</v>
      </c>
      <c r="M186" s="2" t="s">
        <v>1549</v>
      </c>
      <c r="N186" s="2" t="s">
        <v>97</v>
      </c>
      <c r="O186" s="2" t="s">
        <v>1550</v>
      </c>
      <c r="P186" s="2" t="s">
        <v>1467</v>
      </c>
      <c r="Q186" s="2" t="s">
        <v>1467</v>
      </c>
      <c r="R186" s="2" t="s">
        <v>1467</v>
      </c>
      <c r="S186" s="2" t="s">
        <v>1467</v>
      </c>
      <c r="T186" s="2">
        <v>0.48</v>
      </c>
      <c r="U186" s="2" t="s">
        <v>734</v>
      </c>
      <c r="V186" s="2">
        <v>1E-3</v>
      </c>
      <c r="W186" s="2">
        <v>1E-3</v>
      </c>
      <c r="X186" s="2" t="s">
        <v>395</v>
      </c>
      <c r="Y186" s="2" t="s">
        <v>1487</v>
      </c>
      <c r="Z186" s="2" t="s">
        <v>107</v>
      </c>
      <c r="AA186" s="2" t="s">
        <v>107</v>
      </c>
      <c r="AB186" s="2">
        <v>1</v>
      </c>
      <c r="AC186" s="2" t="s">
        <v>397</v>
      </c>
      <c r="AD186" s="2" t="s">
        <v>1551</v>
      </c>
      <c r="AE186" s="2" t="s">
        <v>399</v>
      </c>
      <c r="AF186" s="2" t="s">
        <v>272</v>
      </c>
      <c r="AG186" s="2"/>
    </row>
    <row r="187" spans="1:33" ht="28">
      <c r="A187" s="2" t="s">
        <v>1552</v>
      </c>
      <c r="B187" s="2" t="s">
        <v>265</v>
      </c>
      <c r="C187" s="2">
        <v>2020</v>
      </c>
      <c r="D187" s="2" t="s">
        <v>267</v>
      </c>
      <c r="E187" s="3" t="b">
        <v>1</v>
      </c>
      <c r="F187" s="2" t="s">
        <v>120</v>
      </c>
      <c r="G187" s="2" t="s">
        <v>1508</v>
      </c>
      <c r="H187" s="2" t="s">
        <v>98</v>
      </c>
      <c r="I187" s="2" t="s">
        <v>1509</v>
      </c>
      <c r="J187" s="2" t="s">
        <v>690</v>
      </c>
      <c r="K187" s="2" t="s">
        <v>1548</v>
      </c>
      <c r="L187" s="2" t="s">
        <v>580</v>
      </c>
      <c r="M187" s="2" t="s">
        <v>1533</v>
      </c>
      <c r="N187" s="2" t="s">
        <v>97</v>
      </c>
      <c r="O187" s="2" t="s">
        <v>1553</v>
      </c>
      <c r="P187" s="2" t="s">
        <v>1467</v>
      </c>
      <c r="Q187" s="2" t="s">
        <v>1467</v>
      </c>
      <c r="R187" s="2" t="s">
        <v>1467</v>
      </c>
      <c r="S187" s="2" t="s">
        <v>1467</v>
      </c>
      <c r="T187" s="2">
        <v>0.62</v>
      </c>
      <c r="U187" s="2" t="s">
        <v>734</v>
      </c>
      <c r="V187" s="2" t="s">
        <v>1554</v>
      </c>
      <c r="W187" s="2">
        <v>1E-3</v>
      </c>
      <c r="X187" s="2" t="s">
        <v>395</v>
      </c>
      <c r="Y187" s="2" t="s">
        <v>1487</v>
      </c>
      <c r="Z187" s="2" t="s">
        <v>107</v>
      </c>
      <c r="AA187" s="2" t="s">
        <v>107</v>
      </c>
      <c r="AB187" s="2">
        <v>1</v>
      </c>
      <c r="AC187" s="2" t="s">
        <v>397</v>
      </c>
      <c r="AD187" s="2" t="s">
        <v>1555</v>
      </c>
      <c r="AE187" s="2" t="s">
        <v>399</v>
      </c>
      <c r="AF187" s="2" t="s">
        <v>272</v>
      </c>
      <c r="AG187" s="2"/>
    </row>
    <row r="188" spans="1:33" ht="28">
      <c r="A188" s="2" t="s">
        <v>1556</v>
      </c>
      <c r="B188" s="2" t="s">
        <v>265</v>
      </c>
      <c r="C188" s="2">
        <v>2020</v>
      </c>
      <c r="D188" s="2" t="s">
        <v>267</v>
      </c>
      <c r="E188" s="3" t="b">
        <v>1</v>
      </c>
      <c r="F188" s="2" t="s">
        <v>120</v>
      </c>
      <c r="G188" s="2" t="s">
        <v>1508</v>
      </c>
      <c r="H188" s="2" t="s">
        <v>98</v>
      </c>
      <c r="I188" s="2" t="s">
        <v>1509</v>
      </c>
      <c r="J188" s="2" t="s">
        <v>690</v>
      </c>
      <c r="K188" s="2" t="s">
        <v>1548</v>
      </c>
      <c r="L188" s="2" t="s">
        <v>580</v>
      </c>
      <c r="M188" s="2" t="s">
        <v>1518</v>
      </c>
      <c r="N188" s="2" t="s">
        <v>97</v>
      </c>
      <c r="O188" s="2" t="s">
        <v>1557</v>
      </c>
      <c r="P188" s="2" t="s">
        <v>1467</v>
      </c>
      <c r="Q188" s="2" t="s">
        <v>1467</v>
      </c>
      <c r="R188" s="2" t="s">
        <v>1467</v>
      </c>
      <c r="S188" s="2" t="s">
        <v>1467</v>
      </c>
      <c r="T188" s="2" t="s">
        <v>1558</v>
      </c>
      <c r="U188" s="2" t="s">
        <v>734</v>
      </c>
      <c r="V188" s="2">
        <v>3.6999999999999998E-2</v>
      </c>
      <c r="W188" s="2">
        <v>3.6999999999999998E-2</v>
      </c>
      <c r="X188" s="2" t="s">
        <v>395</v>
      </c>
      <c r="Y188" s="2" t="s">
        <v>1487</v>
      </c>
      <c r="Z188" s="2" t="s">
        <v>107</v>
      </c>
      <c r="AA188" s="2" t="s">
        <v>107</v>
      </c>
      <c r="AB188" s="2">
        <v>1</v>
      </c>
      <c r="AC188" s="2" t="s">
        <v>397</v>
      </c>
      <c r="AD188" s="2" t="s">
        <v>1559</v>
      </c>
      <c r="AE188" s="2" t="s">
        <v>399</v>
      </c>
      <c r="AF188" s="2" t="s">
        <v>272</v>
      </c>
      <c r="AG188" s="2"/>
    </row>
    <row r="189" spans="1:33" ht="28">
      <c r="A189" s="2" t="s">
        <v>1560</v>
      </c>
      <c r="B189" s="2" t="s">
        <v>277</v>
      </c>
      <c r="C189" s="2">
        <v>2020</v>
      </c>
      <c r="D189" s="2" t="s">
        <v>206</v>
      </c>
      <c r="E189" s="3" t="b">
        <v>1</v>
      </c>
      <c r="F189" s="2" t="s">
        <v>120</v>
      </c>
      <c r="G189" s="2" t="s">
        <v>260</v>
      </c>
      <c r="H189" s="2" t="s">
        <v>98</v>
      </c>
      <c r="I189" s="2" t="s">
        <v>1561</v>
      </c>
      <c r="J189" s="2" t="s">
        <v>1449</v>
      </c>
      <c r="K189" s="2" t="s">
        <v>1495</v>
      </c>
      <c r="L189" s="2" t="s">
        <v>443</v>
      </c>
      <c r="M189" s="2" t="s">
        <v>1459</v>
      </c>
      <c r="N189" s="2" t="s">
        <v>1562</v>
      </c>
      <c r="O189" s="2" t="s">
        <v>734</v>
      </c>
      <c r="P189" s="2" t="s">
        <v>1467</v>
      </c>
      <c r="Q189" s="2" t="s">
        <v>1563</v>
      </c>
      <c r="R189" s="2" t="s">
        <v>734</v>
      </c>
      <c r="S189" s="2" t="s">
        <v>1467</v>
      </c>
      <c r="T189" s="2" t="s">
        <v>734</v>
      </c>
      <c r="U189" s="2" t="s">
        <v>734</v>
      </c>
      <c r="V189" s="2">
        <v>2.5999999999999999E-2</v>
      </c>
      <c r="W189" s="2">
        <v>2.5999999999999999E-2</v>
      </c>
      <c r="X189" s="2" t="s">
        <v>395</v>
      </c>
      <c r="Y189" s="2" t="s">
        <v>1564</v>
      </c>
      <c r="Z189" s="2" t="s">
        <v>107</v>
      </c>
      <c r="AA189" s="2" t="s">
        <v>107</v>
      </c>
      <c r="AB189" s="2">
        <v>-1</v>
      </c>
      <c r="AC189" s="2" t="s">
        <v>407</v>
      </c>
      <c r="AD189" s="2" t="s">
        <v>1565</v>
      </c>
      <c r="AE189" s="2" t="s">
        <v>833</v>
      </c>
      <c r="AF189" s="2" t="s">
        <v>284</v>
      </c>
      <c r="AG189" s="2"/>
    </row>
    <row r="190" spans="1:33" ht="28">
      <c r="A190" s="2" t="s">
        <v>1566</v>
      </c>
      <c r="B190" s="2" t="s">
        <v>277</v>
      </c>
      <c r="C190" s="2">
        <v>2020</v>
      </c>
      <c r="D190" s="2" t="s">
        <v>206</v>
      </c>
      <c r="E190" s="3" t="b">
        <v>1</v>
      </c>
      <c r="F190" s="2" t="s">
        <v>120</v>
      </c>
      <c r="G190" s="2" t="s">
        <v>260</v>
      </c>
      <c r="H190" s="2" t="s">
        <v>98</v>
      </c>
      <c r="I190" s="2" t="s">
        <v>1561</v>
      </c>
      <c r="J190" s="2" t="s">
        <v>1449</v>
      </c>
      <c r="K190" s="2" t="s">
        <v>1495</v>
      </c>
      <c r="L190" s="2" t="s">
        <v>443</v>
      </c>
      <c r="M190" s="2" t="s">
        <v>1567</v>
      </c>
      <c r="N190" s="2" t="s">
        <v>1562</v>
      </c>
      <c r="O190" s="2" t="s">
        <v>734</v>
      </c>
      <c r="P190" s="2" t="s">
        <v>1467</v>
      </c>
      <c r="Q190" s="2" t="s">
        <v>1563</v>
      </c>
      <c r="R190" s="2" t="s">
        <v>734</v>
      </c>
      <c r="S190" s="2" t="s">
        <v>1467</v>
      </c>
      <c r="T190" s="2" t="s">
        <v>734</v>
      </c>
      <c r="U190" s="2" t="s">
        <v>734</v>
      </c>
      <c r="V190" s="2">
        <v>1E-3</v>
      </c>
      <c r="W190" s="2">
        <v>1E-3</v>
      </c>
      <c r="X190" s="2" t="s">
        <v>395</v>
      </c>
      <c r="Y190" s="2" t="s">
        <v>1501</v>
      </c>
      <c r="Z190" s="2" t="s">
        <v>107</v>
      </c>
      <c r="AA190" s="2" t="s">
        <v>107</v>
      </c>
      <c r="AB190" s="2">
        <v>-1</v>
      </c>
      <c r="AC190" s="2" t="s">
        <v>407</v>
      </c>
      <c r="AD190" s="2" t="s">
        <v>1568</v>
      </c>
      <c r="AE190" s="2" t="s">
        <v>399</v>
      </c>
      <c r="AF190" s="2" t="s">
        <v>284</v>
      </c>
      <c r="AG190" s="2"/>
    </row>
    <row r="191" spans="1:33" ht="28">
      <c r="A191" s="2" t="s">
        <v>1569</v>
      </c>
      <c r="B191" s="2" t="s">
        <v>277</v>
      </c>
      <c r="C191" s="2">
        <v>2020</v>
      </c>
      <c r="D191" s="2" t="s">
        <v>206</v>
      </c>
      <c r="E191" s="3" t="b">
        <v>1</v>
      </c>
      <c r="F191" s="2" t="s">
        <v>120</v>
      </c>
      <c r="G191" s="2" t="s">
        <v>789</v>
      </c>
      <c r="H191" s="2" t="s">
        <v>98</v>
      </c>
      <c r="I191" s="2" t="s">
        <v>1570</v>
      </c>
      <c r="J191" s="2" t="s">
        <v>1348</v>
      </c>
      <c r="K191" s="2" t="s">
        <v>1571</v>
      </c>
      <c r="L191" s="2" t="s">
        <v>443</v>
      </c>
      <c r="M191" s="2" t="s">
        <v>1572</v>
      </c>
      <c r="N191" s="2" t="s">
        <v>97</v>
      </c>
      <c r="O191" s="2" t="s">
        <v>1573</v>
      </c>
      <c r="P191" s="2" t="s">
        <v>1467</v>
      </c>
      <c r="Q191" s="2" t="s">
        <v>1467</v>
      </c>
      <c r="R191" s="2" t="s">
        <v>1467</v>
      </c>
      <c r="S191" s="2" t="s">
        <v>1467</v>
      </c>
      <c r="T191" s="2" t="s">
        <v>734</v>
      </c>
      <c r="U191" s="2" t="s">
        <v>734</v>
      </c>
      <c r="V191" s="2">
        <v>1.9E-2</v>
      </c>
      <c r="W191" s="2">
        <v>1.9E-2</v>
      </c>
      <c r="X191" s="2" t="s">
        <v>395</v>
      </c>
      <c r="Y191" s="2" t="s">
        <v>1574</v>
      </c>
      <c r="Z191" s="2" t="s">
        <v>107</v>
      </c>
      <c r="AA191" s="2" t="s">
        <v>107</v>
      </c>
      <c r="AB191" s="2">
        <v>-1</v>
      </c>
      <c r="AC191" s="2" t="s">
        <v>407</v>
      </c>
      <c r="AD191" s="2" t="s">
        <v>1575</v>
      </c>
      <c r="AE191" s="2" t="s">
        <v>399</v>
      </c>
      <c r="AF191" s="2" t="s">
        <v>284</v>
      </c>
      <c r="AG191" s="2"/>
    </row>
    <row r="192" spans="1:33" ht="28">
      <c r="A192" s="2" t="s">
        <v>1576</v>
      </c>
      <c r="B192" s="2" t="s">
        <v>277</v>
      </c>
      <c r="C192" s="2">
        <v>2020</v>
      </c>
      <c r="D192" s="2" t="s">
        <v>206</v>
      </c>
      <c r="E192" s="3" t="b">
        <v>1</v>
      </c>
      <c r="F192" s="2" t="s">
        <v>120</v>
      </c>
      <c r="G192" s="2" t="s">
        <v>789</v>
      </c>
      <c r="H192" s="2" t="s">
        <v>98</v>
      </c>
      <c r="I192" s="2" t="s">
        <v>1570</v>
      </c>
      <c r="J192" s="2" t="s">
        <v>1348</v>
      </c>
      <c r="K192" s="2" t="s">
        <v>1571</v>
      </c>
      <c r="L192" s="2" t="s">
        <v>443</v>
      </c>
      <c r="M192" s="2" t="s">
        <v>1577</v>
      </c>
      <c r="N192" s="2" t="s">
        <v>97</v>
      </c>
      <c r="O192" s="2" t="s">
        <v>1573</v>
      </c>
      <c r="P192" s="2" t="s">
        <v>1467</v>
      </c>
      <c r="Q192" s="2" t="s">
        <v>1467</v>
      </c>
      <c r="R192" s="2" t="s">
        <v>1467</v>
      </c>
      <c r="S192" s="2" t="s">
        <v>1467</v>
      </c>
      <c r="T192" s="2" t="s">
        <v>734</v>
      </c>
      <c r="U192" s="2" t="s">
        <v>734</v>
      </c>
      <c r="V192" s="2">
        <v>1E-3</v>
      </c>
      <c r="W192" s="2">
        <v>1E-3</v>
      </c>
      <c r="X192" s="2" t="s">
        <v>395</v>
      </c>
      <c r="Y192" s="2" t="s">
        <v>1574</v>
      </c>
      <c r="Z192" s="2" t="s">
        <v>107</v>
      </c>
      <c r="AA192" s="2" t="s">
        <v>107</v>
      </c>
      <c r="AB192" s="2">
        <v>-1</v>
      </c>
      <c r="AC192" s="2" t="s">
        <v>407</v>
      </c>
      <c r="AD192" s="2" t="s">
        <v>1578</v>
      </c>
      <c r="AE192" s="2" t="s">
        <v>399</v>
      </c>
      <c r="AF192" s="2" t="s">
        <v>284</v>
      </c>
      <c r="AG192" s="2"/>
    </row>
    <row r="193" spans="1:33" ht="28">
      <c r="A193" s="2" t="s">
        <v>1579</v>
      </c>
      <c r="B193" s="2" t="s">
        <v>277</v>
      </c>
      <c r="C193" s="2">
        <v>2020</v>
      </c>
      <c r="D193" s="2" t="s">
        <v>206</v>
      </c>
      <c r="E193" s="3" t="b">
        <v>1</v>
      </c>
      <c r="F193" s="2" t="s">
        <v>120</v>
      </c>
      <c r="G193" s="2" t="s">
        <v>789</v>
      </c>
      <c r="H193" s="2" t="s">
        <v>98</v>
      </c>
      <c r="I193" s="2" t="s">
        <v>1580</v>
      </c>
      <c r="J193" s="2" t="s">
        <v>1581</v>
      </c>
      <c r="K193" s="2" t="s">
        <v>1582</v>
      </c>
      <c r="L193" s="2" t="s">
        <v>443</v>
      </c>
      <c r="M193" s="2" t="s">
        <v>1583</v>
      </c>
      <c r="N193" s="2" t="s">
        <v>1584</v>
      </c>
      <c r="O193" s="2" t="s">
        <v>1585</v>
      </c>
      <c r="P193" s="2" t="s">
        <v>1467</v>
      </c>
      <c r="Q193" s="2" t="s">
        <v>1563</v>
      </c>
      <c r="R193" s="2" t="s">
        <v>734</v>
      </c>
      <c r="S193" s="2" t="s">
        <v>1467</v>
      </c>
      <c r="T193" s="2" t="s">
        <v>734</v>
      </c>
      <c r="U193" s="2" t="s">
        <v>734</v>
      </c>
      <c r="V193" s="2" t="s">
        <v>1586</v>
      </c>
      <c r="W193" s="2">
        <v>0.05</v>
      </c>
      <c r="X193" s="2" t="s">
        <v>483</v>
      </c>
      <c r="Y193" s="2" t="s">
        <v>1587</v>
      </c>
      <c r="Z193" s="2" t="s">
        <v>107</v>
      </c>
      <c r="AA193" s="2" t="s">
        <v>1301</v>
      </c>
      <c r="AB193" s="2">
        <v>-1</v>
      </c>
      <c r="AC193" s="2" t="s">
        <v>407</v>
      </c>
      <c r="AD193" s="2" t="s">
        <v>1588</v>
      </c>
      <c r="AE193" s="2" t="s">
        <v>399</v>
      </c>
      <c r="AF193" s="2" t="s">
        <v>284</v>
      </c>
      <c r="AG193" s="2"/>
    </row>
    <row r="194" spans="1:33" ht="28">
      <c r="A194" s="2" t="s">
        <v>1589</v>
      </c>
      <c r="B194" s="2" t="s">
        <v>277</v>
      </c>
      <c r="C194" s="2">
        <v>2020</v>
      </c>
      <c r="D194" s="2" t="s">
        <v>206</v>
      </c>
      <c r="E194" s="3" t="b">
        <v>1</v>
      </c>
      <c r="F194" s="2" t="s">
        <v>120</v>
      </c>
      <c r="G194" s="2" t="s">
        <v>260</v>
      </c>
      <c r="H194" s="2" t="s">
        <v>98</v>
      </c>
      <c r="I194" s="2" t="s">
        <v>1561</v>
      </c>
      <c r="J194" s="2" t="s">
        <v>1449</v>
      </c>
      <c r="K194" s="2" t="s">
        <v>1495</v>
      </c>
      <c r="L194" s="2" t="s">
        <v>386</v>
      </c>
      <c r="M194" s="2" t="s">
        <v>1590</v>
      </c>
      <c r="N194" s="2" t="s">
        <v>1562</v>
      </c>
      <c r="O194" s="2" t="s">
        <v>1591</v>
      </c>
      <c r="P194" s="2" t="s">
        <v>1467</v>
      </c>
      <c r="Q194" s="2" t="s">
        <v>1563</v>
      </c>
      <c r="R194" s="2" t="s">
        <v>1474</v>
      </c>
      <c r="S194" s="2" t="s">
        <v>1467</v>
      </c>
      <c r="T194" s="2" t="s">
        <v>1592</v>
      </c>
      <c r="U194" s="2" t="s">
        <v>734</v>
      </c>
      <c r="V194" s="2" t="s">
        <v>1593</v>
      </c>
      <c r="W194" s="2">
        <v>0.05</v>
      </c>
      <c r="X194" s="2" t="s">
        <v>483</v>
      </c>
      <c r="Y194" s="2" t="s">
        <v>1594</v>
      </c>
      <c r="Z194" s="2" t="s">
        <v>1595</v>
      </c>
      <c r="AA194" s="2" t="s">
        <v>107</v>
      </c>
      <c r="AB194" s="2">
        <v>-1</v>
      </c>
      <c r="AC194" s="2" t="s">
        <v>407</v>
      </c>
      <c r="AD194" s="2" t="s">
        <v>1596</v>
      </c>
      <c r="AE194" s="2" t="s">
        <v>833</v>
      </c>
      <c r="AF194" s="2" t="s">
        <v>284</v>
      </c>
      <c r="AG194" s="2"/>
    </row>
    <row r="195" spans="1:33" ht="42">
      <c r="A195" s="2" t="s">
        <v>1597</v>
      </c>
      <c r="B195" s="2" t="s">
        <v>277</v>
      </c>
      <c r="C195" s="2">
        <v>2020</v>
      </c>
      <c r="D195" s="2" t="s">
        <v>206</v>
      </c>
      <c r="E195" s="3" t="b">
        <v>1</v>
      </c>
      <c r="F195" s="2" t="s">
        <v>120</v>
      </c>
      <c r="G195" s="2" t="s">
        <v>789</v>
      </c>
      <c r="H195" s="2" t="s">
        <v>98</v>
      </c>
      <c r="I195" s="2" t="s">
        <v>1598</v>
      </c>
      <c r="J195" s="2" t="s">
        <v>1581</v>
      </c>
      <c r="K195" s="2" t="s">
        <v>1599</v>
      </c>
      <c r="L195" s="2" t="s">
        <v>386</v>
      </c>
      <c r="M195" s="2" t="s">
        <v>1600</v>
      </c>
      <c r="N195" s="2" t="s">
        <v>97</v>
      </c>
      <c r="O195" s="2" t="s">
        <v>1601</v>
      </c>
      <c r="P195" s="2" t="s">
        <v>1467</v>
      </c>
      <c r="Q195" s="2" t="s">
        <v>1563</v>
      </c>
      <c r="R195" s="2" t="s">
        <v>1602</v>
      </c>
      <c r="S195" s="2" t="s">
        <v>1467</v>
      </c>
      <c r="T195" s="2" t="s">
        <v>1603</v>
      </c>
      <c r="U195" s="2" t="s">
        <v>734</v>
      </c>
      <c r="V195" s="2" t="s">
        <v>1604</v>
      </c>
      <c r="W195" s="2">
        <v>0.05</v>
      </c>
      <c r="X195" s="2" t="s">
        <v>483</v>
      </c>
      <c r="Y195" s="2" t="s">
        <v>831</v>
      </c>
      <c r="Z195" s="2" t="s">
        <v>395</v>
      </c>
      <c r="AA195" s="2" t="s">
        <v>1605</v>
      </c>
      <c r="AB195" s="2">
        <v>-1</v>
      </c>
      <c r="AC195" s="2" t="s">
        <v>407</v>
      </c>
      <c r="AD195" s="2" t="s">
        <v>1606</v>
      </c>
      <c r="AE195" s="2" t="s">
        <v>833</v>
      </c>
      <c r="AF195" s="2" t="s">
        <v>284</v>
      </c>
      <c r="AG195" s="2"/>
    </row>
    <row r="196" spans="1:33" ht="28">
      <c r="A196" s="2" t="s">
        <v>1607</v>
      </c>
      <c r="B196" s="2" t="s">
        <v>277</v>
      </c>
      <c r="C196" s="2">
        <v>2020</v>
      </c>
      <c r="D196" s="2" t="s">
        <v>206</v>
      </c>
      <c r="E196" s="3" t="b">
        <v>1</v>
      </c>
      <c r="F196" s="2" t="s">
        <v>120</v>
      </c>
      <c r="G196" s="2" t="s">
        <v>789</v>
      </c>
      <c r="H196" s="2" t="s">
        <v>98</v>
      </c>
      <c r="I196" s="2" t="s">
        <v>1608</v>
      </c>
      <c r="J196" s="2" t="s">
        <v>1581</v>
      </c>
      <c r="K196" s="2" t="s">
        <v>1599</v>
      </c>
      <c r="L196" s="2" t="s">
        <v>386</v>
      </c>
      <c r="M196" s="2" t="s">
        <v>1609</v>
      </c>
      <c r="N196" s="2" t="s">
        <v>97</v>
      </c>
      <c r="O196" s="2" t="s">
        <v>1610</v>
      </c>
      <c r="P196" s="2" t="s">
        <v>1467</v>
      </c>
      <c r="Q196" s="2" t="s">
        <v>1563</v>
      </c>
      <c r="R196" s="2" t="s">
        <v>1611</v>
      </c>
      <c r="S196" s="2" t="s">
        <v>1467</v>
      </c>
      <c r="T196" s="2" t="s">
        <v>1612</v>
      </c>
      <c r="U196" s="2" t="s">
        <v>734</v>
      </c>
      <c r="V196" s="2" t="s">
        <v>1613</v>
      </c>
      <c r="W196" s="2">
        <v>0.05</v>
      </c>
      <c r="X196" s="2" t="s">
        <v>483</v>
      </c>
      <c r="Y196" s="2" t="s">
        <v>1614</v>
      </c>
      <c r="Z196" s="2" t="s">
        <v>395</v>
      </c>
      <c r="AA196" s="2" t="s">
        <v>395</v>
      </c>
      <c r="AB196" s="2">
        <v>1</v>
      </c>
      <c r="AC196" s="2" t="s">
        <v>397</v>
      </c>
      <c r="AD196" s="2" t="s">
        <v>1615</v>
      </c>
      <c r="AE196" s="2" t="s">
        <v>833</v>
      </c>
      <c r="AF196" s="2" t="s">
        <v>284</v>
      </c>
      <c r="AG196" s="2"/>
    </row>
    <row r="197" spans="1:33" ht="28">
      <c r="A197" s="2" t="s">
        <v>1616</v>
      </c>
      <c r="B197" s="2" t="s">
        <v>277</v>
      </c>
      <c r="C197" s="2">
        <v>2020</v>
      </c>
      <c r="D197" s="2" t="s">
        <v>206</v>
      </c>
      <c r="E197" s="3" t="b">
        <v>1</v>
      </c>
      <c r="F197" s="2" t="s">
        <v>120</v>
      </c>
      <c r="G197" s="2" t="s">
        <v>789</v>
      </c>
      <c r="H197" s="2" t="s">
        <v>98</v>
      </c>
      <c r="I197" s="2" t="s">
        <v>1570</v>
      </c>
      <c r="J197" s="2" t="s">
        <v>1348</v>
      </c>
      <c r="K197" s="2" t="s">
        <v>1617</v>
      </c>
      <c r="L197" s="2" t="s">
        <v>386</v>
      </c>
      <c r="M197" s="2" t="s">
        <v>1618</v>
      </c>
      <c r="N197" s="2" t="s">
        <v>97</v>
      </c>
      <c r="O197" s="2" t="s">
        <v>1619</v>
      </c>
      <c r="P197" s="2" t="s">
        <v>1467</v>
      </c>
      <c r="Q197" s="2" t="s">
        <v>1467</v>
      </c>
      <c r="R197" s="2" t="s">
        <v>1467</v>
      </c>
      <c r="S197" s="2" t="s">
        <v>1467</v>
      </c>
      <c r="T197" s="2" t="s">
        <v>1620</v>
      </c>
      <c r="U197" s="2" t="s">
        <v>734</v>
      </c>
      <c r="V197" s="2" t="s">
        <v>1621</v>
      </c>
      <c r="W197" s="2">
        <v>0.05</v>
      </c>
      <c r="X197" s="2" t="s">
        <v>483</v>
      </c>
      <c r="Y197" s="2" t="s">
        <v>1622</v>
      </c>
      <c r="Z197" s="2" t="s">
        <v>1623</v>
      </c>
      <c r="AA197" s="2" t="s">
        <v>1624</v>
      </c>
      <c r="AB197" s="2">
        <v>1</v>
      </c>
      <c r="AC197" s="2" t="s">
        <v>397</v>
      </c>
      <c r="AD197" s="2" t="s">
        <v>1625</v>
      </c>
      <c r="AE197" s="2" t="s">
        <v>399</v>
      </c>
      <c r="AF197" s="2" t="s">
        <v>284</v>
      </c>
      <c r="AG197" s="2"/>
    </row>
    <row r="198" spans="1:33" ht="28">
      <c r="A198" s="2" t="s">
        <v>1626</v>
      </c>
      <c r="B198" s="2" t="s">
        <v>289</v>
      </c>
      <c r="C198" s="2">
        <v>2020</v>
      </c>
      <c r="D198" s="2" t="s">
        <v>126</v>
      </c>
      <c r="E198" s="3" t="b">
        <v>1</v>
      </c>
      <c r="F198" s="2" t="s">
        <v>120</v>
      </c>
      <c r="G198" s="2" t="s">
        <v>260</v>
      </c>
      <c r="H198" s="2" t="s">
        <v>98</v>
      </c>
      <c r="I198" s="2" t="s">
        <v>1448</v>
      </c>
      <c r="J198" s="2" t="s">
        <v>1449</v>
      </c>
      <c r="K198" s="2" t="s">
        <v>1450</v>
      </c>
      <c r="L198" s="2" t="s">
        <v>443</v>
      </c>
      <c r="M198" s="2" t="s">
        <v>1451</v>
      </c>
      <c r="N198" s="2" t="s">
        <v>97</v>
      </c>
      <c r="O198" s="2">
        <v>74.010000000000005</v>
      </c>
      <c r="P198" s="2">
        <v>28.81</v>
      </c>
      <c r="Q198" s="2" t="s">
        <v>391</v>
      </c>
      <c r="R198" s="2">
        <v>121.7</v>
      </c>
      <c r="S198" s="2">
        <v>27.07</v>
      </c>
      <c r="T198" s="2" t="s">
        <v>734</v>
      </c>
      <c r="U198" s="2" t="s">
        <v>734</v>
      </c>
      <c r="V198" s="2" t="s">
        <v>1627</v>
      </c>
      <c r="W198" s="2">
        <v>1E-3</v>
      </c>
      <c r="X198" s="2" t="s">
        <v>395</v>
      </c>
      <c r="Y198" s="2" t="s">
        <v>1628</v>
      </c>
      <c r="Z198" s="2" t="s">
        <v>107</v>
      </c>
      <c r="AA198" s="2" t="s">
        <v>107</v>
      </c>
      <c r="AB198" s="2">
        <v>-1</v>
      </c>
      <c r="AC198" s="2" t="s">
        <v>407</v>
      </c>
      <c r="AD198" s="2" t="s">
        <v>1629</v>
      </c>
      <c r="AE198" s="2" t="s">
        <v>399</v>
      </c>
      <c r="AF198" s="2" t="s">
        <v>294</v>
      </c>
      <c r="AG198" s="2"/>
    </row>
    <row r="199" spans="1:33">
      <c r="A199" s="2" t="s">
        <v>1630</v>
      </c>
      <c r="B199" s="2" t="s">
        <v>289</v>
      </c>
      <c r="C199" s="2">
        <v>2020</v>
      </c>
      <c r="D199" s="2" t="s">
        <v>126</v>
      </c>
      <c r="E199" s="3" t="b">
        <v>1</v>
      </c>
      <c r="F199" s="2" t="s">
        <v>120</v>
      </c>
      <c r="G199" s="2" t="s">
        <v>260</v>
      </c>
      <c r="H199" s="2" t="s">
        <v>98</v>
      </c>
      <c r="I199" s="2" t="s">
        <v>1448</v>
      </c>
      <c r="J199" s="2" t="s">
        <v>1449</v>
      </c>
      <c r="K199" s="2" t="s">
        <v>1450</v>
      </c>
      <c r="L199" s="2" t="s">
        <v>443</v>
      </c>
      <c r="M199" s="2" t="s">
        <v>1456</v>
      </c>
      <c r="N199" s="2" t="s">
        <v>97</v>
      </c>
      <c r="O199" s="2">
        <v>82.4</v>
      </c>
      <c r="P199" s="2">
        <v>27.59</v>
      </c>
      <c r="Q199" s="2" t="s">
        <v>391</v>
      </c>
      <c r="R199" s="2">
        <v>122.76</v>
      </c>
      <c r="S199" s="2">
        <v>30.53</v>
      </c>
      <c r="T199" s="2" t="s">
        <v>734</v>
      </c>
      <c r="U199" s="2" t="s">
        <v>734</v>
      </c>
      <c r="V199" s="2" t="s">
        <v>1554</v>
      </c>
      <c r="W199" s="2">
        <v>1E-3</v>
      </c>
      <c r="X199" s="2" t="s">
        <v>395</v>
      </c>
      <c r="Y199" s="2" t="s">
        <v>1631</v>
      </c>
      <c r="Z199" s="2" t="s">
        <v>107</v>
      </c>
      <c r="AA199" s="2" t="s">
        <v>107</v>
      </c>
      <c r="AB199" s="2">
        <v>-1</v>
      </c>
      <c r="AC199" s="2" t="s">
        <v>407</v>
      </c>
      <c r="AD199" s="2" t="s">
        <v>1632</v>
      </c>
      <c r="AE199" s="2" t="s">
        <v>399</v>
      </c>
      <c r="AF199" s="2" t="s">
        <v>294</v>
      </c>
      <c r="AG199" s="2"/>
    </row>
    <row r="200" spans="1:33">
      <c r="A200" s="2" t="s">
        <v>1633</v>
      </c>
      <c r="B200" s="2" t="s">
        <v>289</v>
      </c>
      <c r="C200" s="2">
        <v>2020</v>
      </c>
      <c r="D200" s="2" t="s">
        <v>126</v>
      </c>
      <c r="E200" s="3" t="b">
        <v>1</v>
      </c>
      <c r="F200" s="2" t="s">
        <v>120</v>
      </c>
      <c r="G200" s="2" t="s">
        <v>260</v>
      </c>
      <c r="H200" s="2" t="s">
        <v>98</v>
      </c>
      <c r="I200" s="2" t="s">
        <v>1448</v>
      </c>
      <c r="J200" s="2" t="s">
        <v>1449</v>
      </c>
      <c r="K200" s="2" t="s">
        <v>1450</v>
      </c>
      <c r="L200" s="2" t="s">
        <v>443</v>
      </c>
      <c r="M200" s="2" t="s">
        <v>1459</v>
      </c>
      <c r="N200" s="2" t="s">
        <v>97</v>
      </c>
      <c r="O200" s="2">
        <v>1.42</v>
      </c>
      <c r="P200" s="2">
        <v>1.04</v>
      </c>
      <c r="Q200" s="2" t="s">
        <v>391</v>
      </c>
      <c r="R200" s="2">
        <v>2.63</v>
      </c>
      <c r="S200" s="2">
        <v>0.53</v>
      </c>
      <c r="T200" s="2" t="s">
        <v>734</v>
      </c>
      <c r="U200" s="2" t="s">
        <v>734</v>
      </c>
      <c r="V200" s="2" t="s">
        <v>1554</v>
      </c>
      <c r="W200" s="2">
        <v>1E-3</v>
      </c>
      <c r="X200" s="2" t="s">
        <v>395</v>
      </c>
      <c r="Y200" s="2" t="s">
        <v>1631</v>
      </c>
      <c r="Z200" s="2" t="s">
        <v>107</v>
      </c>
      <c r="AA200" s="2" t="s">
        <v>107</v>
      </c>
      <c r="AB200" s="2">
        <v>-1</v>
      </c>
      <c r="AC200" s="2" t="s">
        <v>407</v>
      </c>
      <c r="AD200" s="2" t="s">
        <v>1634</v>
      </c>
      <c r="AE200" s="2" t="s">
        <v>399</v>
      </c>
      <c r="AF200" s="2" t="s">
        <v>294</v>
      </c>
      <c r="AG200" s="2"/>
    </row>
    <row r="201" spans="1:33">
      <c r="A201" s="2" t="s">
        <v>1635</v>
      </c>
      <c r="B201" s="2" t="s">
        <v>289</v>
      </c>
      <c r="C201" s="2">
        <v>2020</v>
      </c>
      <c r="D201" s="2" t="s">
        <v>126</v>
      </c>
      <c r="E201" s="3" t="b">
        <v>1</v>
      </c>
      <c r="F201" s="2" t="s">
        <v>120</v>
      </c>
      <c r="G201" s="2" t="s">
        <v>260</v>
      </c>
      <c r="H201" s="2" t="s">
        <v>98</v>
      </c>
      <c r="I201" s="2" t="s">
        <v>1448</v>
      </c>
      <c r="J201" s="2" t="s">
        <v>1449</v>
      </c>
      <c r="K201" s="2" t="s">
        <v>1450</v>
      </c>
      <c r="L201" s="2" t="s">
        <v>443</v>
      </c>
      <c r="M201" s="2" t="s">
        <v>1462</v>
      </c>
      <c r="N201" s="2" t="s">
        <v>97</v>
      </c>
      <c r="O201" s="2">
        <v>0.49</v>
      </c>
      <c r="P201" s="2">
        <v>0.34</v>
      </c>
      <c r="Q201" s="2" t="s">
        <v>391</v>
      </c>
      <c r="R201" s="2">
        <v>0.17</v>
      </c>
      <c r="S201" s="2">
        <v>0.11</v>
      </c>
      <c r="T201" s="2" t="s">
        <v>734</v>
      </c>
      <c r="U201" s="2" t="s">
        <v>734</v>
      </c>
      <c r="V201" s="2" t="s">
        <v>1554</v>
      </c>
      <c r="W201" s="2">
        <v>1E-3</v>
      </c>
      <c r="X201" s="2" t="s">
        <v>395</v>
      </c>
      <c r="Y201" s="2" t="s">
        <v>1631</v>
      </c>
      <c r="Z201" s="2" t="s">
        <v>107</v>
      </c>
      <c r="AA201" s="2" t="s">
        <v>107</v>
      </c>
      <c r="AB201" s="2">
        <v>1</v>
      </c>
      <c r="AC201" s="2" t="s">
        <v>397</v>
      </c>
      <c r="AD201" s="2" t="s">
        <v>1636</v>
      </c>
      <c r="AE201" s="2" t="s">
        <v>399</v>
      </c>
      <c r="AF201" s="2" t="s">
        <v>294</v>
      </c>
      <c r="AG201" s="2"/>
    </row>
    <row r="202" spans="1:33" ht="28">
      <c r="A202" s="2" t="s">
        <v>1637</v>
      </c>
      <c r="B202" s="2" t="s">
        <v>289</v>
      </c>
      <c r="C202" s="2">
        <v>2020</v>
      </c>
      <c r="D202" s="2" t="s">
        <v>126</v>
      </c>
      <c r="E202" s="3" t="b">
        <v>1</v>
      </c>
      <c r="F202" s="2" t="s">
        <v>120</v>
      </c>
      <c r="G202" s="2" t="s">
        <v>1638</v>
      </c>
      <c r="H202" s="2" t="s">
        <v>98</v>
      </c>
      <c r="I202" s="2" t="s">
        <v>1639</v>
      </c>
      <c r="J202" s="2" t="s">
        <v>1640</v>
      </c>
      <c r="K202" s="2" t="s">
        <v>1641</v>
      </c>
      <c r="L202" s="2" t="s">
        <v>443</v>
      </c>
      <c r="M202" s="2" t="s">
        <v>1642</v>
      </c>
      <c r="N202" s="2" t="s">
        <v>1643</v>
      </c>
      <c r="O202" s="2" t="s">
        <v>734</v>
      </c>
      <c r="P202" s="2" t="s">
        <v>1467</v>
      </c>
      <c r="Q202" s="2" t="s">
        <v>734</v>
      </c>
      <c r="R202" s="2" t="s">
        <v>734</v>
      </c>
      <c r="S202" s="2" t="s">
        <v>1467</v>
      </c>
      <c r="T202" s="2" t="s">
        <v>734</v>
      </c>
      <c r="U202" s="2" t="s">
        <v>734</v>
      </c>
      <c r="V202" s="2" t="s">
        <v>1644</v>
      </c>
      <c r="W202" s="2">
        <v>0.05</v>
      </c>
      <c r="X202" s="2" t="s">
        <v>107</v>
      </c>
      <c r="Y202" s="2" t="s">
        <v>1645</v>
      </c>
      <c r="Z202" s="2" t="s">
        <v>107</v>
      </c>
      <c r="AA202" s="2" t="s">
        <v>107</v>
      </c>
      <c r="AB202" s="2">
        <v>0</v>
      </c>
      <c r="AC202" s="2" t="s">
        <v>715</v>
      </c>
      <c r="AD202" s="2" t="s">
        <v>1646</v>
      </c>
      <c r="AE202" s="2" t="s">
        <v>399</v>
      </c>
      <c r="AF202" s="2" t="s">
        <v>294</v>
      </c>
      <c r="AG202" s="2"/>
    </row>
    <row r="203" spans="1:33">
      <c r="A203" s="2" t="s">
        <v>1647</v>
      </c>
      <c r="B203" s="2" t="s">
        <v>289</v>
      </c>
      <c r="C203" s="2">
        <v>2020</v>
      </c>
      <c r="D203" s="2" t="s">
        <v>126</v>
      </c>
      <c r="E203" s="3" t="b">
        <v>1</v>
      </c>
      <c r="F203" s="2" t="s">
        <v>120</v>
      </c>
      <c r="G203" s="2" t="s">
        <v>260</v>
      </c>
      <c r="H203" s="2" t="s">
        <v>98</v>
      </c>
      <c r="I203" s="2" t="s">
        <v>1448</v>
      </c>
      <c r="J203" s="2" t="s">
        <v>1449</v>
      </c>
      <c r="K203" s="2" t="s">
        <v>1450</v>
      </c>
      <c r="L203" s="2" t="s">
        <v>386</v>
      </c>
      <c r="M203" s="2" t="s">
        <v>1648</v>
      </c>
      <c r="N203" s="2" t="s">
        <v>97</v>
      </c>
      <c r="O203" s="2">
        <v>39.340000000000003</v>
      </c>
      <c r="P203" s="2" t="s">
        <v>1467</v>
      </c>
      <c r="Q203" s="2" t="s">
        <v>391</v>
      </c>
      <c r="R203" s="2">
        <v>0.02</v>
      </c>
      <c r="S203" s="2" t="s">
        <v>1467</v>
      </c>
      <c r="T203" s="2" t="s">
        <v>734</v>
      </c>
      <c r="U203" s="2" t="s">
        <v>734</v>
      </c>
      <c r="V203" s="2" t="s">
        <v>1649</v>
      </c>
      <c r="W203" s="2">
        <v>2.5000000000000001E-5</v>
      </c>
      <c r="X203" s="2" t="s">
        <v>395</v>
      </c>
      <c r="Y203" s="2" t="s">
        <v>1650</v>
      </c>
      <c r="Z203" s="2" t="s">
        <v>107</v>
      </c>
      <c r="AA203" s="2" t="s">
        <v>107</v>
      </c>
      <c r="AB203" s="2">
        <v>1</v>
      </c>
      <c r="AC203" s="2" t="s">
        <v>397</v>
      </c>
      <c r="AD203" s="2" t="s">
        <v>1651</v>
      </c>
      <c r="AE203" s="2" t="s">
        <v>833</v>
      </c>
      <c r="AF203" s="2" t="s">
        <v>294</v>
      </c>
      <c r="AG203" s="2"/>
    </row>
    <row r="204" spans="1:33">
      <c r="A204" s="2" t="s">
        <v>1652</v>
      </c>
      <c r="B204" s="2" t="s">
        <v>289</v>
      </c>
      <c r="C204" s="2">
        <v>2020</v>
      </c>
      <c r="D204" s="2" t="s">
        <v>126</v>
      </c>
      <c r="E204" s="3" t="b">
        <v>1</v>
      </c>
      <c r="F204" s="2" t="s">
        <v>120</v>
      </c>
      <c r="G204" s="2" t="s">
        <v>260</v>
      </c>
      <c r="H204" s="2" t="s">
        <v>98</v>
      </c>
      <c r="I204" s="2" t="s">
        <v>1448</v>
      </c>
      <c r="J204" s="2" t="s">
        <v>1449</v>
      </c>
      <c r="K204" s="2" t="s">
        <v>1450</v>
      </c>
      <c r="L204" s="2" t="s">
        <v>386</v>
      </c>
      <c r="M204" s="2" t="s">
        <v>1653</v>
      </c>
      <c r="N204" s="2" t="s">
        <v>97</v>
      </c>
      <c r="O204" s="2">
        <v>0.36</v>
      </c>
      <c r="P204" s="2" t="s">
        <v>1467</v>
      </c>
      <c r="Q204" s="2" t="s">
        <v>391</v>
      </c>
      <c r="R204" s="2">
        <v>1.61</v>
      </c>
      <c r="S204" s="2" t="s">
        <v>1467</v>
      </c>
      <c r="T204" s="2" t="s">
        <v>734</v>
      </c>
      <c r="U204" s="2" t="s">
        <v>734</v>
      </c>
      <c r="V204" s="2" t="s">
        <v>1654</v>
      </c>
      <c r="W204" s="2">
        <v>3.5300000000000002E-4</v>
      </c>
      <c r="X204" s="2" t="s">
        <v>395</v>
      </c>
      <c r="Y204" s="2" t="s">
        <v>1655</v>
      </c>
      <c r="Z204" s="2" t="s">
        <v>107</v>
      </c>
      <c r="AA204" s="2" t="s">
        <v>107</v>
      </c>
      <c r="AB204" s="2">
        <v>-1</v>
      </c>
      <c r="AC204" s="2" t="s">
        <v>407</v>
      </c>
      <c r="AD204" s="2" t="s">
        <v>1656</v>
      </c>
      <c r="AE204" s="2" t="s">
        <v>833</v>
      </c>
      <c r="AF204" s="2" t="s">
        <v>294</v>
      </c>
      <c r="AG204" s="2"/>
    </row>
    <row r="205" spans="1:33">
      <c r="A205" s="2" t="s">
        <v>1657</v>
      </c>
      <c r="B205" s="2" t="s">
        <v>289</v>
      </c>
      <c r="C205" s="2">
        <v>2020</v>
      </c>
      <c r="D205" s="2" t="s">
        <v>126</v>
      </c>
      <c r="E205" s="3" t="b">
        <v>1</v>
      </c>
      <c r="F205" s="2" t="s">
        <v>120</v>
      </c>
      <c r="G205" s="2" t="s">
        <v>260</v>
      </c>
      <c r="H205" s="2" t="s">
        <v>98</v>
      </c>
      <c r="I205" s="2" t="s">
        <v>1448</v>
      </c>
      <c r="J205" s="2" t="s">
        <v>1449</v>
      </c>
      <c r="K205" s="2" t="s">
        <v>1450</v>
      </c>
      <c r="L205" s="2" t="s">
        <v>386</v>
      </c>
      <c r="M205" s="2" t="s">
        <v>1658</v>
      </c>
      <c r="N205" s="2" t="s">
        <v>97</v>
      </c>
      <c r="O205" s="2">
        <v>0.7</v>
      </c>
      <c r="P205" s="2" t="s">
        <v>1467</v>
      </c>
      <c r="Q205" s="2" t="s">
        <v>391</v>
      </c>
      <c r="R205" s="2">
        <v>11.28</v>
      </c>
      <c r="S205" s="2" t="s">
        <v>1467</v>
      </c>
      <c r="T205" s="2" t="s">
        <v>734</v>
      </c>
      <c r="U205" s="2" t="s">
        <v>734</v>
      </c>
      <c r="V205" s="2" t="s">
        <v>1659</v>
      </c>
      <c r="W205" s="2">
        <v>3.9999999999999998E-6</v>
      </c>
      <c r="X205" s="2" t="s">
        <v>395</v>
      </c>
      <c r="Y205" s="2" t="s">
        <v>1655</v>
      </c>
      <c r="Z205" s="2" t="s">
        <v>107</v>
      </c>
      <c r="AA205" s="2" t="s">
        <v>107</v>
      </c>
      <c r="AB205" s="2">
        <v>-1</v>
      </c>
      <c r="AC205" s="2" t="s">
        <v>407</v>
      </c>
      <c r="AD205" s="2" t="s">
        <v>1660</v>
      </c>
      <c r="AE205" s="2" t="s">
        <v>833</v>
      </c>
      <c r="AF205" s="2" t="s">
        <v>294</v>
      </c>
      <c r="AG205" s="2"/>
    </row>
    <row r="206" spans="1:33">
      <c r="A206" s="2" t="s">
        <v>1661</v>
      </c>
      <c r="B206" s="2" t="s">
        <v>289</v>
      </c>
      <c r="C206" s="2">
        <v>2020</v>
      </c>
      <c r="D206" s="2" t="s">
        <v>126</v>
      </c>
      <c r="E206" s="3" t="b">
        <v>1</v>
      </c>
      <c r="F206" s="2" t="s">
        <v>120</v>
      </c>
      <c r="G206" s="2" t="s">
        <v>260</v>
      </c>
      <c r="H206" s="2" t="s">
        <v>98</v>
      </c>
      <c r="I206" s="2" t="s">
        <v>1448</v>
      </c>
      <c r="J206" s="2" t="s">
        <v>1449</v>
      </c>
      <c r="K206" s="2" t="s">
        <v>1450</v>
      </c>
      <c r="L206" s="2" t="s">
        <v>386</v>
      </c>
      <c r="M206" s="2" t="s">
        <v>1662</v>
      </c>
      <c r="N206" s="2" t="s">
        <v>97</v>
      </c>
      <c r="O206" s="2">
        <v>5.14</v>
      </c>
      <c r="P206" s="2" t="s">
        <v>1467</v>
      </c>
      <c r="Q206" s="2" t="s">
        <v>391</v>
      </c>
      <c r="R206" s="2">
        <v>8.4600000000000009</v>
      </c>
      <c r="S206" s="2" t="s">
        <v>1467</v>
      </c>
      <c r="T206" s="2" t="s">
        <v>734</v>
      </c>
      <c r="U206" s="2" t="s">
        <v>734</v>
      </c>
      <c r="V206" s="2" t="s">
        <v>1663</v>
      </c>
      <c r="W206" s="2">
        <v>2.2599999999999999E-3</v>
      </c>
      <c r="X206" s="2" t="s">
        <v>395</v>
      </c>
      <c r="Y206" s="2" t="s">
        <v>1655</v>
      </c>
      <c r="Z206" s="2" t="s">
        <v>107</v>
      </c>
      <c r="AA206" s="2" t="s">
        <v>107</v>
      </c>
      <c r="AB206" s="2">
        <v>-1</v>
      </c>
      <c r="AC206" s="2" t="s">
        <v>407</v>
      </c>
      <c r="AD206" s="2" t="s">
        <v>1664</v>
      </c>
      <c r="AE206" s="2" t="s">
        <v>833</v>
      </c>
      <c r="AF206" s="2" t="s">
        <v>294</v>
      </c>
      <c r="AG206" s="2"/>
    </row>
    <row r="207" spans="1:33">
      <c r="A207" s="2" t="s">
        <v>1665</v>
      </c>
      <c r="B207" s="2" t="s">
        <v>289</v>
      </c>
      <c r="C207" s="2">
        <v>2020</v>
      </c>
      <c r="D207" s="2" t="s">
        <v>126</v>
      </c>
      <c r="E207" s="3" t="b">
        <v>1</v>
      </c>
      <c r="F207" s="2" t="s">
        <v>120</v>
      </c>
      <c r="G207" s="2" t="s">
        <v>260</v>
      </c>
      <c r="H207" s="2" t="s">
        <v>98</v>
      </c>
      <c r="I207" s="2" t="s">
        <v>1448</v>
      </c>
      <c r="J207" s="2" t="s">
        <v>1449</v>
      </c>
      <c r="K207" s="2" t="s">
        <v>1450</v>
      </c>
      <c r="L207" s="2" t="s">
        <v>386</v>
      </c>
      <c r="M207" s="2" t="s">
        <v>1666</v>
      </c>
      <c r="N207" s="2" t="s">
        <v>97</v>
      </c>
      <c r="O207" s="2">
        <v>2.3199999999999998</v>
      </c>
      <c r="P207" s="2" t="s">
        <v>1467</v>
      </c>
      <c r="Q207" s="2" t="s">
        <v>391</v>
      </c>
      <c r="R207" s="2">
        <v>4.0999999999999996</v>
      </c>
      <c r="S207" s="2" t="s">
        <v>1467</v>
      </c>
      <c r="T207" s="2" t="s">
        <v>734</v>
      </c>
      <c r="U207" s="2" t="s">
        <v>734</v>
      </c>
      <c r="V207" s="2" t="s">
        <v>1667</v>
      </c>
      <c r="W207" s="2">
        <v>4.06E-4</v>
      </c>
      <c r="X207" s="2" t="s">
        <v>395</v>
      </c>
      <c r="Y207" s="2" t="s">
        <v>1655</v>
      </c>
      <c r="Z207" s="2" t="s">
        <v>107</v>
      </c>
      <c r="AA207" s="2" t="s">
        <v>107</v>
      </c>
      <c r="AB207" s="2">
        <v>-1</v>
      </c>
      <c r="AC207" s="2" t="s">
        <v>407</v>
      </c>
      <c r="AD207" s="2" t="s">
        <v>1668</v>
      </c>
      <c r="AE207" s="2" t="s">
        <v>833</v>
      </c>
      <c r="AF207" s="2" t="s">
        <v>294</v>
      </c>
      <c r="AG207" s="2"/>
    </row>
    <row r="208" spans="1:33">
      <c r="A208" s="2" t="s">
        <v>1669</v>
      </c>
      <c r="B208" s="2" t="s">
        <v>289</v>
      </c>
      <c r="C208" s="2">
        <v>2020</v>
      </c>
      <c r="D208" s="2" t="s">
        <v>126</v>
      </c>
      <c r="E208" s="3" t="b">
        <v>1</v>
      </c>
      <c r="F208" s="2" t="s">
        <v>120</v>
      </c>
      <c r="G208" s="2" t="s">
        <v>260</v>
      </c>
      <c r="H208" s="2" t="s">
        <v>98</v>
      </c>
      <c r="I208" s="2" t="s">
        <v>1448</v>
      </c>
      <c r="J208" s="2" t="s">
        <v>1449</v>
      </c>
      <c r="K208" s="2" t="s">
        <v>1450</v>
      </c>
      <c r="L208" s="2" t="s">
        <v>386</v>
      </c>
      <c r="M208" s="2" t="s">
        <v>1670</v>
      </c>
      <c r="N208" s="2" t="s">
        <v>97</v>
      </c>
      <c r="O208" s="2">
        <v>2.08</v>
      </c>
      <c r="P208" s="2" t="s">
        <v>1467</v>
      </c>
      <c r="Q208" s="2" t="s">
        <v>391</v>
      </c>
      <c r="R208" s="2">
        <v>0.09</v>
      </c>
      <c r="S208" s="2" t="s">
        <v>1467</v>
      </c>
      <c r="T208" s="2" t="s">
        <v>734</v>
      </c>
      <c r="U208" s="2" t="s">
        <v>734</v>
      </c>
      <c r="V208" s="2" t="s">
        <v>1671</v>
      </c>
      <c r="W208" s="2">
        <v>9.3970000000000008E-3</v>
      </c>
      <c r="X208" s="2" t="s">
        <v>395</v>
      </c>
      <c r="Y208" s="2" t="s">
        <v>1655</v>
      </c>
      <c r="Z208" s="2" t="s">
        <v>107</v>
      </c>
      <c r="AA208" s="2" t="s">
        <v>107</v>
      </c>
      <c r="AB208" s="2">
        <v>1</v>
      </c>
      <c r="AC208" s="2" t="s">
        <v>397</v>
      </c>
      <c r="AD208" s="2" t="s">
        <v>1672</v>
      </c>
      <c r="AE208" s="2" t="s">
        <v>833</v>
      </c>
      <c r="AF208" s="2" t="s">
        <v>294</v>
      </c>
      <c r="AG208" s="2"/>
    </row>
    <row r="209" spans="1:33" ht="28">
      <c r="A209" s="2" t="s">
        <v>1673</v>
      </c>
      <c r="B209" s="2" t="s">
        <v>289</v>
      </c>
      <c r="C209" s="2">
        <v>2020</v>
      </c>
      <c r="D209" s="2" t="s">
        <v>126</v>
      </c>
      <c r="E209" s="3" t="b">
        <v>1</v>
      </c>
      <c r="F209" s="2" t="s">
        <v>120</v>
      </c>
      <c r="G209" s="2" t="s">
        <v>260</v>
      </c>
      <c r="H209" s="2" t="s">
        <v>98</v>
      </c>
      <c r="I209" s="2" t="s">
        <v>1448</v>
      </c>
      <c r="J209" s="2" t="s">
        <v>1449</v>
      </c>
      <c r="K209" s="2" t="s">
        <v>1450</v>
      </c>
      <c r="L209" s="2" t="s">
        <v>386</v>
      </c>
      <c r="M209" s="2" t="s">
        <v>1674</v>
      </c>
      <c r="N209" s="2" t="s">
        <v>97</v>
      </c>
      <c r="O209" s="2">
        <v>20</v>
      </c>
      <c r="P209" s="2" t="s">
        <v>1467</v>
      </c>
      <c r="Q209" s="2" t="s">
        <v>391</v>
      </c>
      <c r="R209" s="2">
        <v>32.39</v>
      </c>
      <c r="S209" s="2" t="s">
        <v>1467</v>
      </c>
      <c r="T209" s="2" t="s">
        <v>734</v>
      </c>
      <c r="U209" s="2" t="s">
        <v>734</v>
      </c>
      <c r="V209" s="2" t="s">
        <v>1675</v>
      </c>
      <c r="W209" s="2">
        <v>2.9340000000000001E-2</v>
      </c>
      <c r="X209" s="2" t="s">
        <v>107</v>
      </c>
      <c r="Y209" s="2" t="s">
        <v>1655</v>
      </c>
      <c r="Z209" s="2" t="s">
        <v>107</v>
      </c>
      <c r="AA209" s="2" t="s">
        <v>107</v>
      </c>
      <c r="AB209" s="2">
        <v>-1</v>
      </c>
      <c r="AC209" s="2" t="s">
        <v>407</v>
      </c>
      <c r="AD209" s="2" t="s">
        <v>1676</v>
      </c>
      <c r="AE209" s="2" t="s">
        <v>833</v>
      </c>
      <c r="AF209" s="2" t="s">
        <v>294</v>
      </c>
      <c r="AG209" s="2"/>
    </row>
    <row r="210" spans="1:33" ht="28">
      <c r="A210" s="2" t="s">
        <v>1677</v>
      </c>
      <c r="B210" s="2" t="s">
        <v>299</v>
      </c>
      <c r="C210" s="2">
        <v>2025</v>
      </c>
      <c r="D210" s="2" t="s">
        <v>301</v>
      </c>
      <c r="E210" s="3" t="b">
        <v>1</v>
      </c>
      <c r="F210" s="2" t="s">
        <v>120</v>
      </c>
      <c r="G210" s="2" t="s">
        <v>260</v>
      </c>
      <c r="H210" s="2" t="s">
        <v>98</v>
      </c>
      <c r="I210" s="2" t="s">
        <v>1678</v>
      </c>
      <c r="J210" s="2" t="s">
        <v>1449</v>
      </c>
      <c r="K210" s="2" t="s">
        <v>1679</v>
      </c>
      <c r="L210" s="2" t="s">
        <v>443</v>
      </c>
      <c r="M210" s="2" t="s">
        <v>1680</v>
      </c>
      <c r="N210" s="2" t="s">
        <v>97</v>
      </c>
      <c r="O210" s="2" t="s">
        <v>734</v>
      </c>
      <c r="P210" s="2" t="s">
        <v>734</v>
      </c>
      <c r="Q210" s="2" t="s">
        <v>1681</v>
      </c>
      <c r="R210" s="2" t="s">
        <v>734</v>
      </c>
      <c r="S210" s="2" t="s">
        <v>734</v>
      </c>
      <c r="T210" s="2"/>
      <c r="U210" s="2"/>
      <c r="V210" s="2" t="s">
        <v>1682</v>
      </c>
      <c r="W210" s="2"/>
      <c r="X210" s="2" t="s">
        <v>107</v>
      </c>
      <c r="Y210" s="2" t="s">
        <v>1683</v>
      </c>
      <c r="Z210" s="2" t="s">
        <v>107</v>
      </c>
      <c r="AA210" s="2" t="s">
        <v>1684</v>
      </c>
      <c r="AB210" s="2">
        <v>0</v>
      </c>
      <c r="AC210" s="2" t="s">
        <v>715</v>
      </c>
      <c r="AD210" s="2" t="s">
        <v>1685</v>
      </c>
      <c r="AE210" s="2" t="s">
        <v>399</v>
      </c>
      <c r="AF210" s="2" t="s">
        <v>305</v>
      </c>
      <c r="AG210" s="2"/>
    </row>
    <row r="211" spans="1:33" ht="42">
      <c r="A211" s="2" t="s">
        <v>1686</v>
      </c>
      <c r="B211" s="2" t="s">
        <v>299</v>
      </c>
      <c r="C211" s="2">
        <v>2025</v>
      </c>
      <c r="D211" s="2" t="s">
        <v>301</v>
      </c>
      <c r="E211" s="3" t="b">
        <v>1</v>
      </c>
      <c r="F211" s="2" t="s">
        <v>120</v>
      </c>
      <c r="G211" s="2" t="s">
        <v>260</v>
      </c>
      <c r="H211" s="2" t="s">
        <v>98</v>
      </c>
      <c r="I211" s="2" t="s">
        <v>1678</v>
      </c>
      <c r="J211" s="2" t="s">
        <v>1449</v>
      </c>
      <c r="K211" s="2" t="s">
        <v>1679</v>
      </c>
      <c r="L211" s="2" t="s">
        <v>775</v>
      </c>
      <c r="M211" s="2" t="s">
        <v>1687</v>
      </c>
      <c r="N211" s="2" t="s">
        <v>97</v>
      </c>
      <c r="O211" s="2" t="s">
        <v>734</v>
      </c>
      <c r="P211" s="2" t="s">
        <v>734</v>
      </c>
      <c r="Q211" s="2" t="s">
        <v>1681</v>
      </c>
      <c r="R211" s="2" t="s">
        <v>734</v>
      </c>
      <c r="S211" s="2" t="s">
        <v>734</v>
      </c>
      <c r="T211" s="2"/>
      <c r="U211" s="2"/>
      <c r="V211" s="2">
        <v>1E-3</v>
      </c>
      <c r="W211" s="2">
        <v>1E-3</v>
      </c>
      <c r="X211" s="2" t="s">
        <v>395</v>
      </c>
      <c r="Y211" s="2" t="s">
        <v>1688</v>
      </c>
      <c r="Z211" s="2" t="s">
        <v>107</v>
      </c>
      <c r="AA211" s="2" t="s">
        <v>1689</v>
      </c>
      <c r="AB211" s="2">
        <v>2</v>
      </c>
      <c r="AC211" s="2" t="s">
        <v>1279</v>
      </c>
      <c r="AD211" s="2" t="s">
        <v>1690</v>
      </c>
      <c r="AE211" s="2" t="s">
        <v>399</v>
      </c>
      <c r="AF211" s="2" t="s">
        <v>305</v>
      </c>
      <c r="AG211" s="2"/>
    </row>
    <row r="212" spans="1:33">
      <c r="A212" s="2" t="s">
        <v>1691</v>
      </c>
      <c r="B212" s="2" t="s">
        <v>299</v>
      </c>
      <c r="C212" s="2">
        <v>2025</v>
      </c>
      <c r="D212" s="2" t="s">
        <v>301</v>
      </c>
      <c r="E212" s="3" t="b">
        <v>1</v>
      </c>
      <c r="F212" s="2" t="s">
        <v>120</v>
      </c>
      <c r="G212" s="2" t="s">
        <v>260</v>
      </c>
      <c r="H212" s="2" t="s">
        <v>98</v>
      </c>
      <c r="I212" s="2" t="s">
        <v>1678</v>
      </c>
      <c r="J212" s="2" t="s">
        <v>1449</v>
      </c>
      <c r="K212" s="2" t="s">
        <v>1679</v>
      </c>
      <c r="L212" s="2" t="s">
        <v>386</v>
      </c>
      <c r="M212" s="2" t="s">
        <v>1692</v>
      </c>
      <c r="N212" s="2" t="s">
        <v>97</v>
      </c>
      <c r="O212" s="2" t="s">
        <v>734</v>
      </c>
      <c r="P212" s="2" t="s">
        <v>734</v>
      </c>
      <c r="Q212" s="2" t="s">
        <v>1681</v>
      </c>
      <c r="R212" s="2" t="s">
        <v>734</v>
      </c>
      <c r="S212" s="2" t="s">
        <v>734</v>
      </c>
      <c r="T212" s="2"/>
      <c r="U212" s="2"/>
      <c r="V212" s="2" t="s">
        <v>1693</v>
      </c>
      <c r="W212" s="2">
        <v>0.05</v>
      </c>
      <c r="X212" s="2" t="s">
        <v>483</v>
      </c>
      <c r="Y212" s="2" t="s">
        <v>1694</v>
      </c>
      <c r="Z212" s="2" t="s">
        <v>107</v>
      </c>
      <c r="AA212" s="2" t="s">
        <v>1684</v>
      </c>
      <c r="AB212" s="2">
        <v>1</v>
      </c>
      <c r="AC212" s="2" t="s">
        <v>397</v>
      </c>
      <c r="AD212" s="2" t="s">
        <v>1695</v>
      </c>
      <c r="AE212" s="2" t="s">
        <v>833</v>
      </c>
      <c r="AF212" s="2" t="s">
        <v>305</v>
      </c>
      <c r="AG212" s="2"/>
    </row>
    <row r="213" spans="1:33">
      <c r="A213" s="2" t="s">
        <v>1696</v>
      </c>
      <c r="B213" s="2" t="s">
        <v>299</v>
      </c>
      <c r="C213" s="2">
        <v>2025</v>
      </c>
      <c r="D213" s="2" t="s">
        <v>301</v>
      </c>
      <c r="E213" s="3" t="b">
        <v>1</v>
      </c>
      <c r="F213" s="2" t="s">
        <v>120</v>
      </c>
      <c r="G213" s="2" t="s">
        <v>260</v>
      </c>
      <c r="H213" s="2" t="s">
        <v>98</v>
      </c>
      <c r="I213" s="2" t="s">
        <v>1678</v>
      </c>
      <c r="J213" s="2" t="s">
        <v>1449</v>
      </c>
      <c r="K213" s="2" t="s">
        <v>1679</v>
      </c>
      <c r="L213" s="2" t="s">
        <v>386</v>
      </c>
      <c r="M213" s="2" t="s">
        <v>1697</v>
      </c>
      <c r="N213" s="2" t="s">
        <v>97</v>
      </c>
      <c r="O213" s="2" t="s">
        <v>734</v>
      </c>
      <c r="P213" s="2" t="s">
        <v>734</v>
      </c>
      <c r="Q213" s="2" t="s">
        <v>1681</v>
      </c>
      <c r="R213" s="2" t="s">
        <v>734</v>
      </c>
      <c r="S213" s="2" t="s">
        <v>734</v>
      </c>
      <c r="T213" s="2"/>
      <c r="U213" s="2"/>
      <c r="V213" s="2" t="s">
        <v>1693</v>
      </c>
      <c r="W213" s="2">
        <v>0.05</v>
      </c>
      <c r="X213" s="2" t="s">
        <v>483</v>
      </c>
      <c r="Y213" s="2" t="s">
        <v>1694</v>
      </c>
      <c r="Z213" s="2" t="s">
        <v>107</v>
      </c>
      <c r="AA213" s="2" t="s">
        <v>395</v>
      </c>
      <c r="AB213" s="2">
        <v>1</v>
      </c>
      <c r="AC213" s="2" t="s">
        <v>397</v>
      </c>
      <c r="AD213" s="2" t="s">
        <v>1695</v>
      </c>
      <c r="AE213" s="2" t="s">
        <v>833</v>
      </c>
      <c r="AF213" s="2" t="s">
        <v>305</v>
      </c>
      <c r="AG213" s="2"/>
    </row>
    <row r="214" spans="1:33">
      <c r="A214" s="2" t="s">
        <v>1698</v>
      </c>
      <c r="B214" s="2" t="s">
        <v>299</v>
      </c>
      <c r="C214" s="2">
        <v>2025</v>
      </c>
      <c r="D214" s="2" t="s">
        <v>301</v>
      </c>
      <c r="E214" s="3" t="b">
        <v>1</v>
      </c>
      <c r="F214" s="2" t="s">
        <v>120</v>
      </c>
      <c r="G214" s="2" t="s">
        <v>260</v>
      </c>
      <c r="H214" s="2" t="s">
        <v>98</v>
      </c>
      <c r="I214" s="2" t="s">
        <v>1678</v>
      </c>
      <c r="J214" s="2" t="s">
        <v>1449</v>
      </c>
      <c r="K214" s="2" t="s">
        <v>1679</v>
      </c>
      <c r="L214" s="2" t="s">
        <v>386</v>
      </c>
      <c r="M214" s="2" t="s">
        <v>1699</v>
      </c>
      <c r="N214" s="2" t="s">
        <v>97</v>
      </c>
      <c r="O214" s="2" t="s">
        <v>734</v>
      </c>
      <c r="P214" s="2" t="s">
        <v>734</v>
      </c>
      <c r="Q214" s="2" t="s">
        <v>1681</v>
      </c>
      <c r="R214" s="2" t="s">
        <v>734</v>
      </c>
      <c r="S214" s="2" t="s">
        <v>734</v>
      </c>
      <c r="T214" s="2"/>
      <c r="U214" s="2"/>
      <c r="V214" s="2" t="s">
        <v>1693</v>
      </c>
      <c r="W214" s="2">
        <v>0.05</v>
      </c>
      <c r="X214" s="2" t="s">
        <v>483</v>
      </c>
      <c r="Y214" s="2" t="s">
        <v>1694</v>
      </c>
      <c r="Z214" s="2" t="s">
        <v>107</v>
      </c>
      <c r="AA214" s="2" t="s">
        <v>395</v>
      </c>
      <c r="AB214" s="2">
        <v>1</v>
      </c>
      <c r="AC214" s="2" t="s">
        <v>397</v>
      </c>
      <c r="AD214" s="2" t="s">
        <v>1695</v>
      </c>
      <c r="AE214" s="2" t="s">
        <v>833</v>
      </c>
      <c r="AF214" s="2" t="s">
        <v>305</v>
      </c>
      <c r="AG214" s="2"/>
    </row>
    <row r="215" spans="1:33">
      <c r="A215" s="2" t="s">
        <v>1700</v>
      </c>
      <c r="B215" s="2" t="s">
        <v>299</v>
      </c>
      <c r="C215" s="2">
        <v>2025</v>
      </c>
      <c r="D215" s="2" t="s">
        <v>301</v>
      </c>
      <c r="E215" s="3" t="b">
        <v>1</v>
      </c>
      <c r="F215" s="2" t="s">
        <v>120</v>
      </c>
      <c r="G215" s="2" t="s">
        <v>260</v>
      </c>
      <c r="H215" s="2" t="s">
        <v>98</v>
      </c>
      <c r="I215" s="2" t="s">
        <v>1701</v>
      </c>
      <c r="J215" s="2" t="s">
        <v>1449</v>
      </c>
      <c r="K215" s="2" t="s">
        <v>1679</v>
      </c>
      <c r="L215" s="2" t="s">
        <v>386</v>
      </c>
      <c r="M215" s="2" t="s">
        <v>1702</v>
      </c>
      <c r="N215" s="2" t="s">
        <v>1681</v>
      </c>
      <c r="O215" s="2" t="s">
        <v>734</v>
      </c>
      <c r="P215" s="2" t="s">
        <v>734</v>
      </c>
      <c r="Q215" s="2" t="s">
        <v>97</v>
      </c>
      <c r="R215" s="2" t="s">
        <v>734</v>
      </c>
      <c r="S215" s="2" t="s">
        <v>734</v>
      </c>
      <c r="T215" s="2"/>
      <c r="U215" s="2"/>
      <c r="V215" s="2" t="s">
        <v>1693</v>
      </c>
      <c r="W215" s="2">
        <v>0.05</v>
      </c>
      <c r="X215" s="2" t="s">
        <v>483</v>
      </c>
      <c r="Y215" s="2" t="s">
        <v>1694</v>
      </c>
      <c r="Z215" s="2" t="s">
        <v>107</v>
      </c>
      <c r="AA215" s="2" t="s">
        <v>395</v>
      </c>
      <c r="AB215" s="2">
        <v>-1</v>
      </c>
      <c r="AC215" s="2" t="s">
        <v>407</v>
      </c>
      <c r="AD215" s="2" t="s">
        <v>1703</v>
      </c>
      <c r="AE215" s="2" t="s">
        <v>833</v>
      </c>
      <c r="AF215" s="2" t="s">
        <v>305</v>
      </c>
      <c r="AG215" s="2"/>
    </row>
    <row r="216" spans="1:33">
      <c r="A216" s="2" t="s">
        <v>1704</v>
      </c>
      <c r="B216" s="2" t="s">
        <v>299</v>
      </c>
      <c r="C216" s="2">
        <v>2025</v>
      </c>
      <c r="D216" s="2" t="s">
        <v>301</v>
      </c>
      <c r="E216" s="3" t="b">
        <v>1</v>
      </c>
      <c r="F216" s="2" t="s">
        <v>120</v>
      </c>
      <c r="G216" s="2" t="s">
        <v>260</v>
      </c>
      <c r="H216" s="2" t="s">
        <v>98</v>
      </c>
      <c r="I216" s="2" t="s">
        <v>1701</v>
      </c>
      <c r="J216" s="2" t="s">
        <v>1449</v>
      </c>
      <c r="K216" s="2" t="s">
        <v>1679</v>
      </c>
      <c r="L216" s="2" t="s">
        <v>386</v>
      </c>
      <c r="M216" s="2" t="s">
        <v>1705</v>
      </c>
      <c r="N216" s="2" t="s">
        <v>1681</v>
      </c>
      <c r="O216" s="2" t="s">
        <v>734</v>
      </c>
      <c r="P216" s="2" t="s">
        <v>734</v>
      </c>
      <c r="Q216" s="2" t="s">
        <v>97</v>
      </c>
      <c r="R216" s="2" t="s">
        <v>734</v>
      </c>
      <c r="S216" s="2" t="s">
        <v>734</v>
      </c>
      <c r="T216" s="2"/>
      <c r="U216" s="2"/>
      <c r="V216" s="2" t="s">
        <v>1693</v>
      </c>
      <c r="W216" s="2">
        <v>0.05</v>
      </c>
      <c r="X216" s="2" t="s">
        <v>483</v>
      </c>
      <c r="Y216" s="2" t="s">
        <v>1694</v>
      </c>
      <c r="Z216" s="2" t="s">
        <v>107</v>
      </c>
      <c r="AA216" s="2" t="s">
        <v>395</v>
      </c>
      <c r="AB216" s="2">
        <v>-1</v>
      </c>
      <c r="AC216" s="2" t="s">
        <v>407</v>
      </c>
      <c r="AD216" s="2" t="s">
        <v>1706</v>
      </c>
      <c r="AE216" s="2" t="s">
        <v>833</v>
      </c>
      <c r="AF216" s="2" t="s">
        <v>305</v>
      </c>
      <c r="AG216" s="2"/>
    </row>
    <row r="217" spans="1:33">
      <c r="A217" s="2" t="s">
        <v>1707</v>
      </c>
      <c r="B217" s="2" t="s">
        <v>299</v>
      </c>
      <c r="C217" s="2">
        <v>2025</v>
      </c>
      <c r="D217" s="2" t="s">
        <v>301</v>
      </c>
      <c r="E217" s="3" t="b">
        <v>1</v>
      </c>
      <c r="F217" s="2" t="s">
        <v>120</v>
      </c>
      <c r="G217" s="2" t="s">
        <v>260</v>
      </c>
      <c r="H217" s="2" t="s">
        <v>98</v>
      </c>
      <c r="I217" s="2" t="s">
        <v>1708</v>
      </c>
      <c r="J217" s="2" t="s">
        <v>1449</v>
      </c>
      <c r="K217" s="2" t="s">
        <v>1450</v>
      </c>
      <c r="L217" s="2" t="s">
        <v>386</v>
      </c>
      <c r="M217" s="2" t="s">
        <v>1709</v>
      </c>
      <c r="N217" s="2" t="s">
        <v>97</v>
      </c>
      <c r="O217" s="2" t="s">
        <v>779</v>
      </c>
      <c r="P217" s="2"/>
      <c r="Q217" s="2" t="s">
        <v>1710</v>
      </c>
      <c r="R217" s="2" t="s">
        <v>816</v>
      </c>
      <c r="S217" s="2"/>
      <c r="T217" s="2"/>
      <c r="U217" s="2"/>
      <c r="V217" s="2" t="s">
        <v>1693</v>
      </c>
      <c r="W217" s="2">
        <v>0.05</v>
      </c>
      <c r="X217" s="2" t="s">
        <v>483</v>
      </c>
      <c r="Y217" s="2" t="s">
        <v>1711</v>
      </c>
      <c r="Z217" s="2" t="s">
        <v>107</v>
      </c>
      <c r="AA217" s="2"/>
      <c r="AB217" s="2">
        <v>-1</v>
      </c>
      <c r="AC217" s="2" t="s">
        <v>407</v>
      </c>
      <c r="AD217" s="2" t="s">
        <v>1444</v>
      </c>
      <c r="AE217" s="2" t="s">
        <v>833</v>
      </c>
      <c r="AF217" s="2" t="s">
        <v>305</v>
      </c>
      <c r="AG217" s="2" t="s">
        <v>1712</v>
      </c>
    </row>
    <row r="218" spans="1:33">
      <c r="A218" s="2" t="s">
        <v>1713</v>
      </c>
      <c r="B218" s="2" t="s">
        <v>299</v>
      </c>
      <c r="C218" s="2">
        <v>2025</v>
      </c>
      <c r="D218" s="2" t="s">
        <v>301</v>
      </c>
      <c r="E218" s="3" t="b">
        <v>1</v>
      </c>
      <c r="F218" s="2" t="s">
        <v>120</v>
      </c>
      <c r="G218" s="2" t="s">
        <v>260</v>
      </c>
      <c r="H218" s="2" t="s">
        <v>98</v>
      </c>
      <c r="I218" s="2" t="s">
        <v>1708</v>
      </c>
      <c r="J218" s="2" t="s">
        <v>1449</v>
      </c>
      <c r="K218" s="2" t="s">
        <v>1450</v>
      </c>
      <c r="L218" s="2" t="s">
        <v>386</v>
      </c>
      <c r="M218" s="2" t="s">
        <v>1714</v>
      </c>
      <c r="N218" s="2" t="s">
        <v>97</v>
      </c>
      <c r="O218" s="2" t="s">
        <v>816</v>
      </c>
      <c r="P218" s="2"/>
      <c r="Q218" s="2" t="s">
        <v>1710</v>
      </c>
      <c r="R218" s="2" t="s">
        <v>779</v>
      </c>
      <c r="S218" s="2"/>
      <c r="T218" s="2"/>
      <c r="U218" s="2"/>
      <c r="V218" s="2" t="s">
        <v>1693</v>
      </c>
      <c r="W218" s="2">
        <v>0.05</v>
      </c>
      <c r="X218" s="2" t="s">
        <v>483</v>
      </c>
      <c r="Y218" s="2" t="s">
        <v>1711</v>
      </c>
      <c r="Z218" s="2" t="s">
        <v>107</v>
      </c>
      <c r="AA218" s="2"/>
      <c r="AB218" s="2">
        <v>1</v>
      </c>
      <c r="AC218" s="2" t="s">
        <v>397</v>
      </c>
      <c r="AD218" s="2" t="s">
        <v>1715</v>
      </c>
      <c r="AE218" s="2" t="s">
        <v>833</v>
      </c>
      <c r="AF218" s="2" t="s">
        <v>305</v>
      </c>
      <c r="AG218" s="2" t="s">
        <v>1712</v>
      </c>
    </row>
    <row r="219" spans="1:33" ht="28">
      <c r="A219" s="2" t="s">
        <v>1716</v>
      </c>
      <c r="B219" s="2" t="s">
        <v>299</v>
      </c>
      <c r="C219" s="2">
        <v>2025</v>
      </c>
      <c r="D219" s="2" t="s">
        <v>301</v>
      </c>
      <c r="E219" s="3" t="b">
        <v>1</v>
      </c>
      <c r="F219" s="2" t="s">
        <v>120</v>
      </c>
      <c r="G219" s="2" t="s">
        <v>260</v>
      </c>
      <c r="H219" s="2" t="s">
        <v>98</v>
      </c>
      <c r="I219" s="2" t="s">
        <v>1708</v>
      </c>
      <c r="J219" s="2" t="s">
        <v>1449</v>
      </c>
      <c r="K219" s="2" t="s">
        <v>1450</v>
      </c>
      <c r="L219" s="2" t="s">
        <v>691</v>
      </c>
      <c r="M219" s="2" t="s">
        <v>1717</v>
      </c>
      <c r="N219" s="2" t="s">
        <v>97</v>
      </c>
      <c r="O219" s="2" t="s">
        <v>816</v>
      </c>
      <c r="P219" s="2"/>
      <c r="Q219" s="2" t="s">
        <v>1710</v>
      </c>
      <c r="R219" s="2" t="s">
        <v>779</v>
      </c>
      <c r="S219" s="2"/>
      <c r="T219" s="2"/>
      <c r="U219" s="2"/>
      <c r="V219" s="2" t="s">
        <v>1693</v>
      </c>
      <c r="W219" s="2">
        <v>0.05</v>
      </c>
      <c r="X219" s="2" t="s">
        <v>483</v>
      </c>
      <c r="Y219" s="2" t="s">
        <v>1711</v>
      </c>
      <c r="Z219" s="2" t="s">
        <v>107</v>
      </c>
      <c r="AA219" s="2"/>
      <c r="AB219" s="2">
        <v>1</v>
      </c>
      <c r="AC219" s="2" t="s">
        <v>397</v>
      </c>
      <c r="AD219" s="2" t="s">
        <v>1718</v>
      </c>
      <c r="AE219" s="2" t="s">
        <v>833</v>
      </c>
      <c r="AF219" s="2" t="s">
        <v>305</v>
      </c>
      <c r="AG219" s="2" t="s">
        <v>1719</v>
      </c>
    </row>
    <row r="220" spans="1:33">
      <c r="A220" s="2" t="s">
        <v>1720</v>
      </c>
      <c r="B220" s="2" t="s">
        <v>299</v>
      </c>
      <c r="C220" s="2">
        <v>2025</v>
      </c>
      <c r="D220" s="2" t="s">
        <v>301</v>
      </c>
      <c r="E220" s="3" t="b">
        <v>1</v>
      </c>
      <c r="F220" s="2" t="s">
        <v>120</v>
      </c>
      <c r="G220" s="2" t="s">
        <v>260</v>
      </c>
      <c r="H220" s="2" t="s">
        <v>98</v>
      </c>
      <c r="I220" s="2" t="s">
        <v>1708</v>
      </c>
      <c r="J220" s="2" t="s">
        <v>1449</v>
      </c>
      <c r="K220" s="2" t="s">
        <v>1450</v>
      </c>
      <c r="L220" s="2" t="s">
        <v>691</v>
      </c>
      <c r="M220" s="2" t="s">
        <v>1721</v>
      </c>
      <c r="N220" s="2" t="s">
        <v>97</v>
      </c>
      <c r="O220" s="2" t="s">
        <v>779</v>
      </c>
      <c r="P220" s="2"/>
      <c r="Q220" s="2" t="s">
        <v>1710</v>
      </c>
      <c r="R220" s="2" t="s">
        <v>816</v>
      </c>
      <c r="S220" s="2"/>
      <c r="T220" s="2"/>
      <c r="U220" s="2"/>
      <c r="V220" s="2" t="s">
        <v>1693</v>
      </c>
      <c r="W220" s="2">
        <v>0.05</v>
      </c>
      <c r="X220" s="2" t="s">
        <v>483</v>
      </c>
      <c r="Y220" s="2" t="s">
        <v>1711</v>
      </c>
      <c r="Z220" s="2" t="s">
        <v>107</v>
      </c>
      <c r="AA220" s="2"/>
      <c r="AB220" s="2">
        <v>-1</v>
      </c>
      <c r="AC220" s="2" t="s">
        <v>407</v>
      </c>
      <c r="AD220" s="2" t="s">
        <v>1722</v>
      </c>
      <c r="AE220" s="2" t="s">
        <v>833</v>
      </c>
      <c r="AF220" s="2" t="s">
        <v>305</v>
      </c>
      <c r="AG220" s="2" t="s">
        <v>1719</v>
      </c>
    </row>
    <row r="221" spans="1:33">
      <c r="A221" s="2" t="s">
        <v>1723</v>
      </c>
      <c r="B221" s="2" t="s">
        <v>299</v>
      </c>
      <c r="C221" s="2">
        <v>2025</v>
      </c>
      <c r="D221" s="2" t="s">
        <v>301</v>
      </c>
      <c r="E221" s="3" t="b">
        <v>1</v>
      </c>
      <c r="F221" s="2" t="s">
        <v>120</v>
      </c>
      <c r="G221" s="2" t="s">
        <v>260</v>
      </c>
      <c r="H221" s="2" t="s">
        <v>98</v>
      </c>
      <c r="I221" s="2" t="s">
        <v>1724</v>
      </c>
      <c r="J221" s="2" t="s">
        <v>1725</v>
      </c>
      <c r="K221" s="2" t="s">
        <v>1726</v>
      </c>
      <c r="L221" s="2" t="s">
        <v>386</v>
      </c>
      <c r="M221" s="2" t="s">
        <v>1727</v>
      </c>
      <c r="N221" s="2" t="s">
        <v>1728</v>
      </c>
      <c r="O221" s="2" t="s">
        <v>715</v>
      </c>
      <c r="P221" s="2"/>
      <c r="Q221" s="2" t="s">
        <v>1729</v>
      </c>
      <c r="R221" s="2" t="s">
        <v>715</v>
      </c>
      <c r="S221" s="2"/>
      <c r="T221" s="2"/>
      <c r="U221" s="2"/>
      <c r="V221" s="2" t="s">
        <v>1730</v>
      </c>
      <c r="W221" s="2">
        <v>0.05</v>
      </c>
      <c r="X221" s="2" t="s">
        <v>107</v>
      </c>
      <c r="Y221" s="2" t="s">
        <v>1731</v>
      </c>
      <c r="Z221" s="2" t="s">
        <v>107</v>
      </c>
      <c r="AA221" s="2"/>
      <c r="AB221" s="2">
        <v>0</v>
      </c>
      <c r="AC221" s="2" t="s">
        <v>715</v>
      </c>
      <c r="AD221" s="2" t="s">
        <v>1732</v>
      </c>
      <c r="AE221" s="2" t="s">
        <v>833</v>
      </c>
      <c r="AF221" s="2" t="s">
        <v>305</v>
      </c>
      <c r="AG221" s="2" t="s">
        <v>1733</v>
      </c>
    </row>
    <row r="222" spans="1:33">
      <c r="A222" s="2" t="s">
        <v>1734</v>
      </c>
      <c r="B222" s="2" t="s">
        <v>299</v>
      </c>
      <c r="C222" s="2">
        <v>2025</v>
      </c>
      <c r="D222" s="2" t="s">
        <v>301</v>
      </c>
      <c r="E222" s="3" t="b">
        <v>1</v>
      </c>
      <c r="F222" s="2" t="s">
        <v>120</v>
      </c>
      <c r="G222" s="2" t="s">
        <v>260</v>
      </c>
      <c r="H222" s="2" t="s">
        <v>98</v>
      </c>
      <c r="I222" s="2" t="s">
        <v>1735</v>
      </c>
      <c r="J222" s="2" t="s">
        <v>1736</v>
      </c>
      <c r="K222" s="2" t="s">
        <v>1737</v>
      </c>
      <c r="L222" s="2" t="s">
        <v>386</v>
      </c>
      <c r="M222" s="2" t="s">
        <v>1738</v>
      </c>
      <c r="N222" s="2" t="s">
        <v>1739</v>
      </c>
      <c r="O222" s="2" t="s">
        <v>1740</v>
      </c>
      <c r="P222" s="2"/>
      <c r="Q222" s="2" t="s">
        <v>1741</v>
      </c>
      <c r="R222" s="2" t="s">
        <v>1740</v>
      </c>
      <c r="S222" s="2"/>
      <c r="T222" s="2"/>
      <c r="U222" s="2"/>
      <c r="V222" s="2" t="s">
        <v>1742</v>
      </c>
      <c r="W222" s="2">
        <v>0.05</v>
      </c>
      <c r="X222" s="2" t="s">
        <v>107</v>
      </c>
      <c r="Y222" s="2" t="s">
        <v>1743</v>
      </c>
      <c r="Z222" s="2" t="s">
        <v>107</v>
      </c>
      <c r="AA222" s="2"/>
      <c r="AB222" s="2">
        <v>0</v>
      </c>
      <c r="AC222" s="2" t="s">
        <v>715</v>
      </c>
      <c r="AD222" s="2" t="s">
        <v>1744</v>
      </c>
      <c r="AE222" s="2" t="s">
        <v>399</v>
      </c>
      <c r="AF222" s="2" t="s">
        <v>305</v>
      </c>
      <c r="AG222" s="2" t="s">
        <v>1733</v>
      </c>
    </row>
    <row r="223" spans="1:33" ht="28">
      <c r="A223" s="2" t="s">
        <v>1745</v>
      </c>
      <c r="B223" s="2" t="s">
        <v>169</v>
      </c>
      <c r="C223" s="2">
        <v>2019</v>
      </c>
      <c r="D223" s="2" t="s">
        <v>94</v>
      </c>
      <c r="E223" s="3" t="b">
        <v>1</v>
      </c>
      <c r="F223" s="2" t="s">
        <v>120</v>
      </c>
      <c r="G223" s="2" t="s">
        <v>174</v>
      </c>
      <c r="H223" s="2" t="s">
        <v>98</v>
      </c>
      <c r="I223" s="2" t="s">
        <v>1258</v>
      </c>
      <c r="J223" s="2" t="s">
        <v>1746</v>
      </c>
      <c r="K223" s="2" t="s">
        <v>1260</v>
      </c>
      <c r="L223" s="2" t="s">
        <v>386</v>
      </c>
      <c r="M223" s="2" t="s">
        <v>1747</v>
      </c>
      <c r="N223" s="2" t="s">
        <v>1263</v>
      </c>
      <c r="O223" s="2" t="s">
        <v>779</v>
      </c>
      <c r="P223" s="2"/>
      <c r="Q223" s="2" t="s">
        <v>1262</v>
      </c>
      <c r="R223" s="2" t="s">
        <v>816</v>
      </c>
      <c r="S223" s="2"/>
      <c r="T223" s="2"/>
      <c r="U223" s="2"/>
      <c r="V223" s="2" t="s">
        <v>1748</v>
      </c>
      <c r="W223" s="2"/>
      <c r="X223" s="2" t="s">
        <v>749</v>
      </c>
      <c r="Y223" s="2" t="s">
        <v>1749</v>
      </c>
      <c r="Z223" s="2" t="s">
        <v>1750</v>
      </c>
      <c r="AA223" s="2"/>
      <c r="AB223" s="2">
        <v>-1</v>
      </c>
      <c r="AC223" s="2" t="s">
        <v>407</v>
      </c>
      <c r="AD223" s="2" t="s">
        <v>1751</v>
      </c>
      <c r="AE223" s="2" t="s">
        <v>399</v>
      </c>
      <c r="AF223" s="2" t="s">
        <v>175</v>
      </c>
      <c r="AG223" s="2" t="s">
        <v>1733</v>
      </c>
    </row>
    <row r="224" spans="1:33">
      <c r="A224" s="2" t="s">
        <v>1752</v>
      </c>
      <c r="B224" s="2" t="s">
        <v>169</v>
      </c>
      <c r="C224" s="2">
        <v>2019</v>
      </c>
      <c r="D224" s="2" t="s">
        <v>94</v>
      </c>
      <c r="E224" s="3" t="b">
        <v>1</v>
      </c>
      <c r="F224" s="2" t="s">
        <v>120</v>
      </c>
      <c r="G224" s="2" t="s">
        <v>174</v>
      </c>
      <c r="H224" s="2" t="s">
        <v>98</v>
      </c>
      <c r="I224" s="2" t="s">
        <v>1753</v>
      </c>
      <c r="J224" s="2" t="s">
        <v>1190</v>
      </c>
      <c r="K224" s="2" t="s">
        <v>1754</v>
      </c>
      <c r="L224" s="2" t="s">
        <v>1190</v>
      </c>
      <c r="M224" s="2" t="s">
        <v>1755</v>
      </c>
      <c r="N224" s="2" t="s">
        <v>1754</v>
      </c>
      <c r="O224" s="2" t="s">
        <v>1756</v>
      </c>
      <c r="P224" s="2"/>
      <c r="Q224" s="2" t="s">
        <v>1757</v>
      </c>
      <c r="R224" s="2" t="s">
        <v>174</v>
      </c>
      <c r="S224" s="2"/>
      <c r="T224" s="2"/>
      <c r="U224" s="2"/>
      <c r="V224" s="2" t="s">
        <v>1758</v>
      </c>
      <c r="W224" s="2"/>
      <c r="X224" s="2" t="s">
        <v>107</v>
      </c>
      <c r="Y224" s="2" t="s">
        <v>1287</v>
      </c>
      <c r="Z224" s="2" t="s">
        <v>1759</v>
      </c>
      <c r="AA224" s="2"/>
      <c r="AB224" s="2">
        <v>0</v>
      </c>
      <c r="AC224" s="2" t="s">
        <v>715</v>
      </c>
      <c r="AD224" s="2" t="s">
        <v>1760</v>
      </c>
      <c r="AE224" s="2" t="s">
        <v>399</v>
      </c>
      <c r="AF224" s="2" t="s">
        <v>175</v>
      </c>
      <c r="AG224" s="2" t="s">
        <v>1761</v>
      </c>
    </row>
    <row r="225" spans="1:33" ht="28">
      <c r="A225" s="2" t="s">
        <v>1762</v>
      </c>
      <c r="B225" s="2" t="s">
        <v>265</v>
      </c>
      <c r="C225" s="2">
        <v>2020</v>
      </c>
      <c r="D225" s="2" t="s">
        <v>267</v>
      </c>
      <c r="E225" s="3" t="b">
        <v>1</v>
      </c>
      <c r="F225" s="2" t="s">
        <v>120</v>
      </c>
      <c r="G225" s="2" t="s">
        <v>1508</v>
      </c>
      <c r="H225" s="2" t="s">
        <v>98</v>
      </c>
      <c r="I225" s="2" t="s">
        <v>1763</v>
      </c>
      <c r="J225" s="2" t="s">
        <v>1764</v>
      </c>
      <c r="K225" s="2" t="s">
        <v>1765</v>
      </c>
      <c r="L225" s="2" t="s">
        <v>443</v>
      </c>
      <c r="M225" s="2" t="s">
        <v>444</v>
      </c>
      <c r="N225" s="2" t="s">
        <v>1766</v>
      </c>
      <c r="O225" s="2" t="s">
        <v>779</v>
      </c>
      <c r="P225" s="2"/>
      <c r="Q225" s="2" t="s">
        <v>1767</v>
      </c>
      <c r="R225" s="2" t="s">
        <v>816</v>
      </c>
      <c r="S225" s="2"/>
      <c r="T225" s="2"/>
      <c r="U225" s="2"/>
      <c r="V225" s="2" t="s">
        <v>460</v>
      </c>
      <c r="W225" s="2">
        <v>0.02</v>
      </c>
      <c r="X225" s="2" t="s">
        <v>395</v>
      </c>
      <c r="Y225" s="2" t="s">
        <v>1768</v>
      </c>
      <c r="Z225" s="2" t="s">
        <v>1769</v>
      </c>
      <c r="AA225" s="2"/>
      <c r="AB225" s="2">
        <v>-1</v>
      </c>
      <c r="AC225" s="2" t="s">
        <v>407</v>
      </c>
      <c r="AD225" s="2" t="s">
        <v>1770</v>
      </c>
      <c r="AE225" s="2" t="s">
        <v>399</v>
      </c>
      <c r="AF225" s="2" t="s">
        <v>272</v>
      </c>
      <c r="AG225" s="2" t="s">
        <v>1733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2"/>
  <sheetViews>
    <sheetView workbookViewId="0">
      <selection activeCell="V1" sqref="V1:W1048576"/>
    </sheetView>
  </sheetViews>
  <sheetFormatPr defaultRowHeight="14"/>
  <cols>
    <col min="1" max="1" width="12" customWidth="1"/>
    <col min="2" max="2" width="26" customWidth="1"/>
    <col min="3" max="3" width="42" customWidth="1"/>
    <col min="4" max="4" width="24" customWidth="1"/>
    <col min="5" max="5" width="44" customWidth="1"/>
    <col min="6" max="6" width="30" customWidth="1"/>
    <col min="7" max="7" width="18" customWidth="1"/>
    <col min="8" max="8" width="36" customWidth="1"/>
    <col min="9" max="9" width="28" customWidth="1"/>
    <col min="10" max="10" width="55" customWidth="1"/>
    <col min="11" max="11" width="28" customWidth="1"/>
    <col min="12" max="12" width="14" customWidth="1"/>
    <col min="13" max="13" width="22" customWidth="1"/>
    <col min="14" max="14" width="14" customWidth="1"/>
    <col min="15" max="15" width="24" customWidth="1"/>
    <col min="16" max="17" width="14" customWidth="1"/>
    <col min="18" max="18" width="28" customWidth="1"/>
    <col min="19" max="19" width="32" customWidth="1"/>
    <col min="20" max="20" width="85" customWidth="1"/>
    <col min="21" max="21" width="14" customWidth="1"/>
  </cols>
  <sheetData>
    <row r="1" spans="1:21">
      <c r="A1" s="1" t="s">
        <v>1771</v>
      </c>
      <c r="B1" s="1" t="s">
        <v>1772</v>
      </c>
      <c r="C1" s="1" t="s">
        <v>12</v>
      </c>
      <c r="D1" s="1" t="s">
        <v>66</v>
      </c>
      <c r="E1" s="1" t="s">
        <v>1773</v>
      </c>
      <c r="F1" s="1" t="s">
        <v>355</v>
      </c>
      <c r="G1" s="1" t="s">
        <v>74</v>
      </c>
      <c r="H1" s="1" t="s">
        <v>1774</v>
      </c>
      <c r="I1" s="1" t="s">
        <v>359</v>
      </c>
      <c r="J1" s="1" t="s">
        <v>1775</v>
      </c>
      <c r="K1" s="1" t="s">
        <v>1776</v>
      </c>
      <c r="L1" s="1" t="s">
        <v>375</v>
      </c>
      <c r="M1" s="1" t="s">
        <v>376</v>
      </c>
      <c r="N1" s="1" t="s">
        <v>371</v>
      </c>
      <c r="O1" s="1" t="s">
        <v>369</v>
      </c>
      <c r="P1" s="1" t="s">
        <v>1777</v>
      </c>
      <c r="Q1" s="1" t="s">
        <v>90</v>
      </c>
      <c r="R1" s="1" t="s">
        <v>1778</v>
      </c>
      <c r="S1" s="1" t="s">
        <v>1779</v>
      </c>
      <c r="T1" s="1" t="s">
        <v>1780</v>
      </c>
      <c r="U1" s="1" t="s">
        <v>1781</v>
      </c>
    </row>
    <row r="2" spans="1:21" ht="28">
      <c r="A2" s="2" t="s">
        <v>1783</v>
      </c>
      <c r="B2" s="2" t="s">
        <v>1784</v>
      </c>
      <c r="C2" s="2" t="s">
        <v>1785</v>
      </c>
      <c r="D2" s="2" t="s">
        <v>110</v>
      </c>
      <c r="E2" s="2" t="s">
        <v>1786</v>
      </c>
      <c r="F2" s="2" t="s">
        <v>260</v>
      </c>
      <c r="G2" s="2" t="s">
        <v>98</v>
      </c>
      <c r="H2" s="2" t="s">
        <v>1787</v>
      </c>
      <c r="I2" s="2" t="s">
        <v>443</v>
      </c>
      <c r="J2" s="2" t="s">
        <v>1788</v>
      </c>
      <c r="K2" s="2" t="s">
        <v>443</v>
      </c>
      <c r="L2" s="2">
        <v>-1</v>
      </c>
      <c r="M2" s="2" t="s">
        <v>407</v>
      </c>
      <c r="N2" s="2" t="s">
        <v>107</v>
      </c>
      <c r="O2" s="2" t="s">
        <v>1789</v>
      </c>
      <c r="P2" s="2">
        <v>14</v>
      </c>
      <c r="Q2" s="2">
        <v>2</v>
      </c>
      <c r="R2" s="2" t="s">
        <v>1790</v>
      </c>
      <c r="S2" s="2" t="s">
        <v>1791</v>
      </c>
      <c r="T2" s="2" t="s">
        <v>1792</v>
      </c>
      <c r="U2" s="3" t="b">
        <v>1</v>
      </c>
    </row>
    <row r="3" spans="1:21">
      <c r="A3" s="2" t="s">
        <v>1793</v>
      </c>
      <c r="B3" s="2" t="s">
        <v>1784</v>
      </c>
      <c r="C3" s="2" t="s">
        <v>1794</v>
      </c>
      <c r="D3" s="2" t="s">
        <v>110</v>
      </c>
      <c r="E3" s="2" t="s">
        <v>1786</v>
      </c>
      <c r="F3" s="2" t="s">
        <v>260</v>
      </c>
      <c r="G3" s="2" t="s">
        <v>98</v>
      </c>
      <c r="H3" s="2" t="s">
        <v>1787</v>
      </c>
      <c r="I3" s="2" t="s">
        <v>775</v>
      </c>
      <c r="J3" s="2" t="s">
        <v>1795</v>
      </c>
      <c r="K3" s="2" t="s">
        <v>775</v>
      </c>
      <c r="L3" s="2">
        <v>2</v>
      </c>
      <c r="M3" s="2" t="s">
        <v>1279</v>
      </c>
      <c r="N3" s="2" t="s">
        <v>395</v>
      </c>
      <c r="O3" s="2" t="s">
        <v>1796</v>
      </c>
      <c r="P3" s="2">
        <v>14</v>
      </c>
      <c r="Q3" s="2">
        <v>2</v>
      </c>
      <c r="R3" s="2" t="s">
        <v>1790</v>
      </c>
      <c r="S3" s="2" t="s">
        <v>1797</v>
      </c>
      <c r="T3" s="2" t="s">
        <v>1798</v>
      </c>
      <c r="U3" s="3" t="b">
        <v>1</v>
      </c>
    </row>
    <row r="4" spans="1:21">
      <c r="A4" s="2" t="s">
        <v>1799</v>
      </c>
      <c r="B4" s="2" t="s">
        <v>1784</v>
      </c>
      <c r="C4" s="2" t="s">
        <v>1800</v>
      </c>
      <c r="D4" s="2" t="s">
        <v>110</v>
      </c>
      <c r="E4" s="2" t="s">
        <v>1786</v>
      </c>
      <c r="F4" s="2" t="s">
        <v>260</v>
      </c>
      <c r="G4" s="2" t="s">
        <v>98</v>
      </c>
      <c r="H4" s="2" t="s">
        <v>1787</v>
      </c>
      <c r="I4" s="2" t="s">
        <v>386</v>
      </c>
      <c r="J4" s="2" t="s">
        <v>1801</v>
      </c>
      <c r="K4" s="2" t="s">
        <v>1802</v>
      </c>
      <c r="L4" s="2">
        <v>1</v>
      </c>
      <c r="M4" s="2" t="s">
        <v>397</v>
      </c>
      <c r="N4" s="2" t="s">
        <v>395</v>
      </c>
      <c r="O4" s="2" t="s">
        <v>1803</v>
      </c>
      <c r="P4" s="2">
        <v>14</v>
      </c>
      <c r="Q4" s="2">
        <v>2</v>
      </c>
      <c r="R4" s="2" t="s">
        <v>1804</v>
      </c>
      <c r="S4" s="2" t="s">
        <v>1805</v>
      </c>
      <c r="T4" s="2" t="s">
        <v>1806</v>
      </c>
      <c r="U4" s="3" t="b">
        <v>1</v>
      </c>
    </row>
    <row r="5" spans="1:21">
      <c r="A5" s="2" t="s">
        <v>1807</v>
      </c>
      <c r="B5" s="2" t="s">
        <v>1784</v>
      </c>
      <c r="C5" s="2" t="s">
        <v>1800</v>
      </c>
      <c r="D5" s="2" t="s">
        <v>110</v>
      </c>
      <c r="E5" s="2" t="s">
        <v>1786</v>
      </c>
      <c r="F5" s="2" t="s">
        <v>260</v>
      </c>
      <c r="G5" s="2" t="s">
        <v>98</v>
      </c>
      <c r="H5" s="2" t="s">
        <v>1787</v>
      </c>
      <c r="I5" s="2" t="s">
        <v>386</v>
      </c>
      <c r="J5" s="2" t="s">
        <v>1808</v>
      </c>
      <c r="K5" s="2" t="s">
        <v>1809</v>
      </c>
      <c r="L5" s="2">
        <v>-1</v>
      </c>
      <c r="M5" s="2" t="s">
        <v>407</v>
      </c>
      <c r="N5" s="2" t="s">
        <v>395</v>
      </c>
      <c r="O5" s="2" t="s">
        <v>1810</v>
      </c>
      <c r="P5" s="2">
        <v>14</v>
      </c>
      <c r="Q5" s="2">
        <v>2</v>
      </c>
      <c r="R5" s="2" t="s">
        <v>1790</v>
      </c>
      <c r="S5" s="2" t="s">
        <v>1811</v>
      </c>
      <c r="T5" s="2" t="s">
        <v>1812</v>
      </c>
      <c r="U5" s="3" t="b">
        <v>1</v>
      </c>
    </row>
    <row r="6" spans="1:21">
      <c r="A6" s="2" t="s">
        <v>1813</v>
      </c>
      <c r="B6" s="2" t="s">
        <v>1784</v>
      </c>
      <c r="C6" s="2" t="s">
        <v>1785</v>
      </c>
      <c r="D6" s="2" t="s">
        <v>289</v>
      </c>
      <c r="E6" s="2" t="s">
        <v>1814</v>
      </c>
      <c r="F6" s="2" t="s">
        <v>260</v>
      </c>
      <c r="G6" s="2" t="s">
        <v>98</v>
      </c>
      <c r="H6" s="2" t="s">
        <v>1787</v>
      </c>
      <c r="I6" s="2" t="s">
        <v>443</v>
      </c>
      <c r="J6" s="2" t="s">
        <v>1815</v>
      </c>
      <c r="K6" s="2" t="s">
        <v>443</v>
      </c>
      <c r="L6" s="2">
        <v>-1</v>
      </c>
      <c r="M6" s="2" t="s">
        <v>407</v>
      </c>
      <c r="N6" s="2" t="s">
        <v>395</v>
      </c>
      <c r="O6" s="2" t="s">
        <v>1816</v>
      </c>
      <c r="P6" s="2">
        <v>36</v>
      </c>
      <c r="Q6" s="2">
        <v>3</v>
      </c>
      <c r="R6" s="2" t="s">
        <v>1790</v>
      </c>
      <c r="S6" s="2" t="s">
        <v>1817</v>
      </c>
      <c r="T6" s="2" t="s">
        <v>1818</v>
      </c>
      <c r="U6" s="3" t="b">
        <v>1</v>
      </c>
    </row>
    <row r="7" spans="1:21">
      <c r="A7" s="2" t="s">
        <v>1819</v>
      </c>
      <c r="B7" s="2" t="s">
        <v>1784</v>
      </c>
      <c r="C7" s="2" t="s">
        <v>1820</v>
      </c>
      <c r="D7" s="2" t="s">
        <v>289</v>
      </c>
      <c r="E7" s="2" t="s">
        <v>1814</v>
      </c>
      <c r="F7" s="2" t="s">
        <v>260</v>
      </c>
      <c r="G7" s="2" t="s">
        <v>98</v>
      </c>
      <c r="H7" s="2" t="s">
        <v>1787</v>
      </c>
      <c r="I7" s="2" t="s">
        <v>443</v>
      </c>
      <c r="J7" s="2" t="s">
        <v>1821</v>
      </c>
      <c r="K7" s="2" t="s">
        <v>1822</v>
      </c>
      <c r="L7" s="2">
        <v>-1</v>
      </c>
      <c r="M7" s="2" t="s">
        <v>407</v>
      </c>
      <c r="N7" s="2" t="s">
        <v>395</v>
      </c>
      <c r="O7" s="2" t="s">
        <v>1816</v>
      </c>
      <c r="P7" s="2">
        <v>36</v>
      </c>
      <c r="Q7" s="2">
        <v>3</v>
      </c>
      <c r="R7" s="2" t="s">
        <v>1790</v>
      </c>
      <c r="S7" s="2" t="s">
        <v>1823</v>
      </c>
      <c r="T7" s="2" t="s">
        <v>1818</v>
      </c>
      <c r="U7" s="3" t="b">
        <v>1</v>
      </c>
    </row>
    <row r="8" spans="1:21" ht="28">
      <c r="A8" s="2" t="s">
        <v>1824</v>
      </c>
      <c r="B8" s="2" t="s">
        <v>1784</v>
      </c>
      <c r="C8" s="2" t="s">
        <v>1794</v>
      </c>
      <c r="D8" s="2" t="s">
        <v>289</v>
      </c>
      <c r="E8" s="2" t="s">
        <v>1814</v>
      </c>
      <c r="F8" s="2" t="s">
        <v>260</v>
      </c>
      <c r="G8" s="2" t="s">
        <v>98</v>
      </c>
      <c r="H8" s="2" t="s">
        <v>1787</v>
      </c>
      <c r="I8" s="2" t="s">
        <v>775</v>
      </c>
      <c r="J8" s="2" t="s">
        <v>1825</v>
      </c>
      <c r="K8" s="2" t="s">
        <v>775</v>
      </c>
      <c r="L8" s="2">
        <v>2</v>
      </c>
      <c r="M8" s="2" t="s">
        <v>1279</v>
      </c>
      <c r="N8" s="2" t="s">
        <v>1826</v>
      </c>
      <c r="O8" s="2" t="s">
        <v>1827</v>
      </c>
      <c r="P8" s="2">
        <v>36</v>
      </c>
      <c r="Q8" s="2">
        <v>3</v>
      </c>
      <c r="R8" s="2" t="s">
        <v>1253</v>
      </c>
      <c r="S8" s="2" t="s">
        <v>1828</v>
      </c>
      <c r="T8" s="2" t="s">
        <v>1829</v>
      </c>
      <c r="U8" s="3" t="b">
        <v>1</v>
      </c>
    </row>
    <row r="9" spans="1:21" ht="42">
      <c r="A9" s="2" t="s">
        <v>1830</v>
      </c>
      <c r="B9" s="2" t="s">
        <v>1784</v>
      </c>
      <c r="C9" s="2" t="s">
        <v>1800</v>
      </c>
      <c r="D9" s="2" t="s">
        <v>289</v>
      </c>
      <c r="E9" s="2" t="s">
        <v>1814</v>
      </c>
      <c r="F9" s="2" t="s">
        <v>260</v>
      </c>
      <c r="G9" s="2" t="s">
        <v>98</v>
      </c>
      <c r="H9" s="2" t="s">
        <v>1787</v>
      </c>
      <c r="I9" s="2" t="s">
        <v>386</v>
      </c>
      <c r="J9" s="2" t="s">
        <v>1831</v>
      </c>
      <c r="K9" s="2" t="s">
        <v>1809</v>
      </c>
      <c r="L9" s="2">
        <v>-1</v>
      </c>
      <c r="M9" s="2" t="s">
        <v>407</v>
      </c>
      <c r="N9" s="2" t="s">
        <v>395</v>
      </c>
      <c r="O9" s="2" t="s">
        <v>1832</v>
      </c>
      <c r="P9" s="2">
        <v>36</v>
      </c>
      <c r="Q9" s="2">
        <v>3</v>
      </c>
      <c r="R9" s="2" t="s">
        <v>1833</v>
      </c>
      <c r="S9" s="2" t="s">
        <v>1834</v>
      </c>
      <c r="T9" s="2" t="s">
        <v>1835</v>
      </c>
      <c r="U9" s="3" t="b">
        <v>1</v>
      </c>
    </row>
    <row r="10" spans="1:21">
      <c r="A10" s="2" t="s">
        <v>1836</v>
      </c>
      <c r="B10" s="2" t="s">
        <v>1784</v>
      </c>
      <c r="C10" s="2" t="s">
        <v>1800</v>
      </c>
      <c r="D10" s="2" t="s">
        <v>289</v>
      </c>
      <c r="E10" s="2" t="s">
        <v>1814</v>
      </c>
      <c r="F10" s="2" t="s">
        <v>260</v>
      </c>
      <c r="G10" s="2" t="s">
        <v>98</v>
      </c>
      <c r="H10" s="2" t="s">
        <v>1787</v>
      </c>
      <c r="I10" s="2" t="s">
        <v>386</v>
      </c>
      <c r="J10" s="2" t="s">
        <v>1837</v>
      </c>
      <c r="K10" s="2" t="s">
        <v>1838</v>
      </c>
      <c r="L10" s="2">
        <v>1</v>
      </c>
      <c r="M10" s="2" t="s">
        <v>397</v>
      </c>
      <c r="N10" s="2" t="s">
        <v>395</v>
      </c>
      <c r="O10" s="2" t="s">
        <v>1832</v>
      </c>
      <c r="P10" s="2">
        <v>36</v>
      </c>
      <c r="Q10" s="2">
        <v>3</v>
      </c>
      <c r="R10" s="2" t="s">
        <v>1833</v>
      </c>
      <c r="S10" s="2" t="s">
        <v>1839</v>
      </c>
      <c r="T10" s="2" t="s">
        <v>1840</v>
      </c>
      <c r="U10" s="3" t="b">
        <v>1</v>
      </c>
    </row>
    <row r="11" spans="1:21">
      <c r="A11" s="2" t="s">
        <v>1841</v>
      </c>
      <c r="B11" s="2" t="s">
        <v>1784</v>
      </c>
      <c r="C11" s="2" t="s">
        <v>1785</v>
      </c>
      <c r="D11" s="2" t="s">
        <v>256</v>
      </c>
      <c r="E11" s="2" t="s">
        <v>1842</v>
      </c>
      <c r="F11" s="2" t="s">
        <v>260</v>
      </c>
      <c r="G11" s="2" t="s">
        <v>98</v>
      </c>
      <c r="H11" s="2" t="s">
        <v>1787</v>
      </c>
      <c r="I11" s="2" t="s">
        <v>443</v>
      </c>
      <c r="J11" s="2" t="s">
        <v>1843</v>
      </c>
      <c r="K11" s="2" t="s">
        <v>443</v>
      </c>
      <c r="L11" s="2">
        <v>0</v>
      </c>
      <c r="M11" s="2" t="s">
        <v>715</v>
      </c>
      <c r="N11" s="2" t="s">
        <v>107</v>
      </c>
      <c r="O11" s="2" t="s">
        <v>1742</v>
      </c>
      <c r="P11" s="2">
        <v>81</v>
      </c>
      <c r="Q11" s="2">
        <v>3</v>
      </c>
      <c r="R11" s="2" t="s">
        <v>1790</v>
      </c>
      <c r="S11" s="2" t="s">
        <v>1844</v>
      </c>
      <c r="T11" s="2" t="s">
        <v>1845</v>
      </c>
      <c r="U11" s="3" t="b">
        <v>1</v>
      </c>
    </row>
    <row r="12" spans="1:21">
      <c r="A12" s="2" t="s">
        <v>1846</v>
      </c>
      <c r="B12" s="2" t="s">
        <v>1784</v>
      </c>
      <c r="C12" s="2" t="s">
        <v>1794</v>
      </c>
      <c r="D12" s="2" t="s">
        <v>256</v>
      </c>
      <c r="E12" s="2" t="s">
        <v>1842</v>
      </c>
      <c r="F12" s="2" t="s">
        <v>260</v>
      </c>
      <c r="G12" s="2" t="s">
        <v>98</v>
      </c>
      <c r="H12" s="2" t="s">
        <v>1787</v>
      </c>
      <c r="I12" s="2" t="s">
        <v>775</v>
      </c>
      <c r="J12" s="2" t="s">
        <v>1847</v>
      </c>
      <c r="K12" s="2" t="s">
        <v>775</v>
      </c>
      <c r="L12" s="2">
        <v>2</v>
      </c>
      <c r="M12" s="2" t="s">
        <v>1279</v>
      </c>
      <c r="N12" s="2" t="s">
        <v>395</v>
      </c>
      <c r="O12" s="2" t="s">
        <v>1848</v>
      </c>
      <c r="P12" s="2">
        <v>81</v>
      </c>
      <c r="Q12" s="2">
        <v>3</v>
      </c>
      <c r="R12" s="2" t="s">
        <v>1159</v>
      </c>
      <c r="S12" s="2" t="s">
        <v>1849</v>
      </c>
      <c r="T12" s="2" t="s">
        <v>1850</v>
      </c>
      <c r="U12" s="3" t="b">
        <v>1</v>
      </c>
    </row>
    <row r="13" spans="1:21">
      <c r="A13" s="2" t="s">
        <v>1851</v>
      </c>
      <c r="B13" s="2" t="s">
        <v>1784</v>
      </c>
      <c r="C13" s="2" t="s">
        <v>1800</v>
      </c>
      <c r="D13" s="2" t="s">
        <v>256</v>
      </c>
      <c r="E13" s="2" t="s">
        <v>1842</v>
      </c>
      <c r="F13" s="2" t="s">
        <v>260</v>
      </c>
      <c r="G13" s="2" t="s">
        <v>98</v>
      </c>
      <c r="H13" s="2" t="s">
        <v>1787</v>
      </c>
      <c r="I13" s="2" t="s">
        <v>386</v>
      </c>
      <c r="J13" s="2" t="s">
        <v>1852</v>
      </c>
      <c r="K13" s="2" t="s">
        <v>1809</v>
      </c>
      <c r="L13" s="2">
        <v>-1</v>
      </c>
      <c r="M13" s="2" t="s">
        <v>407</v>
      </c>
      <c r="N13" s="2" t="s">
        <v>395</v>
      </c>
      <c r="O13" s="2" t="s">
        <v>1853</v>
      </c>
      <c r="P13" s="2">
        <v>81</v>
      </c>
      <c r="Q13" s="2">
        <v>3</v>
      </c>
      <c r="R13" s="2" t="s">
        <v>1169</v>
      </c>
      <c r="S13" s="2" t="s">
        <v>1854</v>
      </c>
      <c r="T13" s="2" t="s">
        <v>1855</v>
      </c>
      <c r="U13" s="3" t="b">
        <v>1</v>
      </c>
    </row>
    <row r="14" spans="1:21">
      <c r="A14" s="2" t="s">
        <v>1856</v>
      </c>
      <c r="B14" s="2" t="s">
        <v>1784</v>
      </c>
      <c r="C14" s="2" t="s">
        <v>1800</v>
      </c>
      <c r="D14" s="2" t="s">
        <v>256</v>
      </c>
      <c r="E14" s="2" t="s">
        <v>1842</v>
      </c>
      <c r="F14" s="2" t="s">
        <v>260</v>
      </c>
      <c r="G14" s="2" t="s">
        <v>98</v>
      </c>
      <c r="H14" s="2" t="s">
        <v>1787</v>
      </c>
      <c r="I14" s="2" t="s">
        <v>386</v>
      </c>
      <c r="J14" s="2" t="s">
        <v>1857</v>
      </c>
      <c r="K14" s="2" t="s">
        <v>1802</v>
      </c>
      <c r="L14" s="2">
        <v>1</v>
      </c>
      <c r="M14" s="2" t="s">
        <v>397</v>
      </c>
      <c r="N14" s="2" t="s">
        <v>395</v>
      </c>
      <c r="O14" s="2" t="s">
        <v>1853</v>
      </c>
      <c r="P14" s="2">
        <v>81</v>
      </c>
      <c r="Q14" s="2">
        <v>3</v>
      </c>
      <c r="R14" s="2" t="s">
        <v>1169</v>
      </c>
      <c r="S14" s="2" t="s">
        <v>1858</v>
      </c>
      <c r="T14" s="2" t="s">
        <v>1859</v>
      </c>
      <c r="U14" s="3" t="b">
        <v>1</v>
      </c>
    </row>
    <row r="15" spans="1:21">
      <c r="A15" s="2" t="s">
        <v>1860</v>
      </c>
      <c r="B15" s="2" t="s">
        <v>1784</v>
      </c>
      <c r="C15" s="2" t="s">
        <v>1861</v>
      </c>
      <c r="D15" s="2" t="s">
        <v>256</v>
      </c>
      <c r="E15" s="2" t="s">
        <v>1842</v>
      </c>
      <c r="F15" s="2" t="s">
        <v>260</v>
      </c>
      <c r="G15" s="2" t="s">
        <v>98</v>
      </c>
      <c r="H15" s="2" t="s">
        <v>1787</v>
      </c>
      <c r="I15" s="2" t="s">
        <v>1190</v>
      </c>
      <c r="J15" s="2" t="s">
        <v>1862</v>
      </c>
      <c r="K15" s="2" t="s">
        <v>1190</v>
      </c>
      <c r="L15" s="2">
        <v>1</v>
      </c>
      <c r="M15" s="2" t="s">
        <v>397</v>
      </c>
      <c r="N15" s="2" t="s">
        <v>749</v>
      </c>
      <c r="O15" s="2"/>
      <c r="P15" s="2">
        <v>81</v>
      </c>
      <c r="Q15" s="2">
        <v>3</v>
      </c>
      <c r="R15" s="2" t="s">
        <v>1863</v>
      </c>
      <c r="S15" s="2" t="s">
        <v>1864</v>
      </c>
      <c r="T15" s="2" t="s">
        <v>1865</v>
      </c>
      <c r="U15" s="3" t="b">
        <v>1</v>
      </c>
    </row>
    <row r="16" spans="1:21">
      <c r="A16" s="2" t="s">
        <v>1866</v>
      </c>
      <c r="B16" s="2" t="s">
        <v>1784</v>
      </c>
      <c r="C16" s="2" t="s">
        <v>1785</v>
      </c>
      <c r="D16" s="2" t="s">
        <v>277</v>
      </c>
      <c r="E16" s="2" t="s">
        <v>1867</v>
      </c>
      <c r="F16" s="2" t="s">
        <v>260</v>
      </c>
      <c r="G16" s="2" t="s">
        <v>98</v>
      </c>
      <c r="H16" s="2" t="s">
        <v>1868</v>
      </c>
      <c r="I16" s="2" t="s">
        <v>443</v>
      </c>
      <c r="J16" s="2" t="s">
        <v>1815</v>
      </c>
      <c r="K16" s="2" t="s">
        <v>443</v>
      </c>
      <c r="L16" s="2">
        <v>-1</v>
      </c>
      <c r="M16" s="2" t="s">
        <v>407</v>
      </c>
      <c r="N16" s="2" t="s">
        <v>395</v>
      </c>
      <c r="O16" s="2" t="s">
        <v>1869</v>
      </c>
      <c r="P16" s="2">
        <v>28</v>
      </c>
      <c r="Q16" s="2">
        <v>3</v>
      </c>
      <c r="R16" s="2" t="s">
        <v>1790</v>
      </c>
      <c r="S16" s="2" t="s">
        <v>1870</v>
      </c>
      <c r="T16" s="2" t="s">
        <v>1871</v>
      </c>
      <c r="U16" s="3" t="b">
        <v>1</v>
      </c>
    </row>
    <row r="17" spans="1:21">
      <c r="A17" s="2" t="s">
        <v>1872</v>
      </c>
      <c r="B17" s="2" t="s">
        <v>1784</v>
      </c>
      <c r="C17" s="2" t="s">
        <v>1820</v>
      </c>
      <c r="D17" s="2" t="s">
        <v>277</v>
      </c>
      <c r="E17" s="2" t="s">
        <v>1867</v>
      </c>
      <c r="F17" s="2" t="s">
        <v>260</v>
      </c>
      <c r="G17" s="2" t="s">
        <v>98</v>
      </c>
      <c r="H17" s="2" t="s">
        <v>1868</v>
      </c>
      <c r="I17" s="2" t="s">
        <v>443</v>
      </c>
      <c r="J17" s="2" t="s">
        <v>1873</v>
      </c>
      <c r="K17" s="2" t="s">
        <v>1822</v>
      </c>
      <c r="L17" s="2">
        <v>-1</v>
      </c>
      <c r="M17" s="2" t="s">
        <v>407</v>
      </c>
      <c r="N17" s="2" t="s">
        <v>395</v>
      </c>
      <c r="O17" s="2" t="s">
        <v>1874</v>
      </c>
      <c r="P17" s="2">
        <v>28</v>
      </c>
      <c r="Q17" s="2">
        <v>3</v>
      </c>
      <c r="R17" s="2" t="s">
        <v>1790</v>
      </c>
      <c r="S17" s="2" t="s">
        <v>1870</v>
      </c>
      <c r="T17" s="2" t="s">
        <v>1871</v>
      </c>
      <c r="U17" s="3" t="b">
        <v>1</v>
      </c>
    </row>
    <row r="18" spans="1:21">
      <c r="A18" s="2" t="s">
        <v>1875</v>
      </c>
      <c r="B18" s="2" t="s">
        <v>1784</v>
      </c>
      <c r="C18" s="2" t="s">
        <v>1800</v>
      </c>
      <c r="D18" s="2" t="s">
        <v>277</v>
      </c>
      <c r="E18" s="2" t="s">
        <v>1867</v>
      </c>
      <c r="F18" s="2" t="s">
        <v>260</v>
      </c>
      <c r="G18" s="2" t="s">
        <v>98</v>
      </c>
      <c r="H18" s="2" t="s">
        <v>1868</v>
      </c>
      <c r="I18" s="2" t="s">
        <v>386</v>
      </c>
      <c r="J18" s="2" t="s">
        <v>1876</v>
      </c>
      <c r="K18" s="2" t="s">
        <v>1809</v>
      </c>
      <c r="L18" s="2">
        <v>-1</v>
      </c>
      <c r="M18" s="2" t="s">
        <v>407</v>
      </c>
      <c r="N18" s="2" t="s">
        <v>395</v>
      </c>
      <c r="O18" s="2" t="s">
        <v>1877</v>
      </c>
      <c r="P18" s="2">
        <v>52</v>
      </c>
      <c r="Q18" s="2">
        <v>3</v>
      </c>
      <c r="R18" s="2" t="s">
        <v>1878</v>
      </c>
      <c r="S18" s="2" t="s">
        <v>1879</v>
      </c>
      <c r="T18" s="2" t="s">
        <v>1880</v>
      </c>
      <c r="U18" s="3" t="b">
        <v>1</v>
      </c>
    </row>
    <row r="19" spans="1:21">
      <c r="A19" s="2" t="s">
        <v>1881</v>
      </c>
      <c r="B19" s="2" t="s">
        <v>1784</v>
      </c>
      <c r="C19" s="2" t="s">
        <v>1785</v>
      </c>
      <c r="D19" s="2" t="s">
        <v>299</v>
      </c>
      <c r="E19" s="2" t="s">
        <v>1882</v>
      </c>
      <c r="F19" s="2" t="s">
        <v>260</v>
      </c>
      <c r="G19" s="2" t="s">
        <v>98</v>
      </c>
      <c r="H19" s="2" t="s">
        <v>1883</v>
      </c>
      <c r="I19" s="2" t="s">
        <v>443</v>
      </c>
      <c r="J19" s="2" t="s">
        <v>1884</v>
      </c>
      <c r="K19" s="2" t="s">
        <v>443</v>
      </c>
      <c r="L19" s="2">
        <v>0</v>
      </c>
      <c r="M19" s="2" t="s">
        <v>715</v>
      </c>
      <c r="N19" s="2" t="s">
        <v>107</v>
      </c>
      <c r="O19" s="2" t="s">
        <v>1742</v>
      </c>
      <c r="P19" s="2">
        <v>206</v>
      </c>
      <c r="Q19" s="2">
        <v>3</v>
      </c>
      <c r="R19" s="2" t="s">
        <v>1885</v>
      </c>
      <c r="S19" s="2" t="s">
        <v>715</v>
      </c>
      <c r="T19" s="2" t="s">
        <v>1886</v>
      </c>
      <c r="U19" s="3" t="b">
        <v>1</v>
      </c>
    </row>
    <row r="20" spans="1:21">
      <c r="A20" s="2" t="s">
        <v>1887</v>
      </c>
      <c r="B20" s="2" t="s">
        <v>1784</v>
      </c>
      <c r="C20" s="2" t="s">
        <v>1794</v>
      </c>
      <c r="D20" s="2" t="s">
        <v>299</v>
      </c>
      <c r="E20" s="2" t="s">
        <v>1882</v>
      </c>
      <c r="F20" s="2" t="s">
        <v>260</v>
      </c>
      <c r="G20" s="2" t="s">
        <v>98</v>
      </c>
      <c r="H20" s="2" t="s">
        <v>1883</v>
      </c>
      <c r="I20" s="2" t="s">
        <v>775</v>
      </c>
      <c r="J20" s="2" t="s">
        <v>1888</v>
      </c>
      <c r="K20" s="2" t="s">
        <v>775</v>
      </c>
      <c r="L20" s="2">
        <v>2</v>
      </c>
      <c r="M20" s="2" t="s">
        <v>1279</v>
      </c>
      <c r="N20" s="2" t="s">
        <v>395</v>
      </c>
      <c r="O20" s="2" t="s">
        <v>1889</v>
      </c>
      <c r="P20" s="2">
        <v>206</v>
      </c>
      <c r="Q20" s="2">
        <v>3</v>
      </c>
      <c r="R20" s="2" t="s">
        <v>1159</v>
      </c>
      <c r="S20" s="2" t="s">
        <v>1890</v>
      </c>
      <c r="T20" s="2" t="s">
        <v>1891</v>
      </c>
      <c r="U20" s="3" t="b">
        <v>1</v>
      </c>
    </row>
    <row r="21" spans="1:21" ht="28">
      <c r="A21" s="2" t="s">
        <v>1892</v>
      </c>
      <c r="B21" s="2" t="s">
        <v>1784</v>
      </c>
      <c r="C21" s="2" t="s">
        <v>1800</v>
      </c>
      <c r="D21" s="2" t="s">
        <v>299</v>
      </c>
      <c r="E21" s="2" t="s">
        <v>1882</v>
      </c>
      <c r="F21" s="2" t="s">
        <v>260</v>
      </c>
      <c r="G21" s="2" t="s">
        <v>98</v>
      </c>
      <c r="H21" s="2" t="s">
        <v>1883</v>
      </c>
      <c r="I21" s="2" t="s">
        <v>386</v>
      </c>
      <c r="J21" s="2" t="s">
        <v>1893</v>
      </c>
      <c r="K21" s="2" t="s">
        <v>1809</v>
      </c>
      <c r="L21" s="2">
        <v>-1</v>
      </c>
      <c r="M21" s="2" t="s">
        <v>407</v>
      </c>
      <c r="N21" s="2" t="s">
        <v>395</v>
      </c>
      <c r="O21" s="2" t="s">
        <v>1693</v>
      </c>
      <c r="P21" s="2">
        <v>206</v>
      </c>
      <c r="Q21" s="2">
        <v>3</v>
      </c>
      <c r="R21" s="2" t="s">
        <v>1894</v>
      </c>
      <c r="S21" s="2" t="s">
        <v>1895</v>
      </c>
      <c r="T21" s="2" t="s">
        <v>1896</v>
      </c>
      <c r="U21" s="3" t="b">
        <v>1</v>
      </c>
    </row>
    <row r="22" spans="1:21">
      <c r="A22" s="2" t="s">
        <v>1897</v>
      </c>
      <c r="B22" s="2" t="s">
        <v>1784</v>
      </c>
      <c r="C22" s="2" t="s">
        <v>1800</v>
      </c>
      <c r="D22" s="2" t="s">
        <v>299</v>
      </c>
      <c r="E22" s="2" t="s">
        <v>1882</v>
      </c>
      <c r="F22" s="2" t="s">
        <v>260</v>
      </c>
      <c r="G22" s="2" t="s">
        <v>98</v>
      </c>
      <c r="H22" s="2" t="s">
        <v>1883</v>
      </c>
      <c r="I22" s="2" t="s">
        <v>386</v>
      </c>
      <c r="J22" s="2" t="s">
        <v>1898</v>
      </c>
      <c r="K22" s="2" t="s">
        <v>1838</v>
      </c>
      <c r="L22" s="2">
        <v>1</v>
      </c>
      <c r="M22" s="2" t="s">
        <v>397</v>
      </c>
      <c r="N22" s="2" t="s">
        <v>395</v>
      </c>
      <c r="O22" s="2" t="s">
        <v>1693</v>
      </c>
      <c r="P22" s="2">
        <v>206</v>
      </c>
      <c r="Q22" s="2">
        <v>3</v>
      </c>
      <c r="R22" s="2" t="s">
        <v>1894</v>
      </c>
      <c r="S22" s="2" t="s">
        <v>1899</v>
      </c>
      <c r="T22" s="2" t="s">
        <v>1900</v>
      </c>
      <c r="U22" s="3" t="b">
        <v>1</v>
      </c>
    </row>
    <row r="23" spans="1:21">
      <c r="A23" s="2" t="s">
        <v>1901</v>
      </c>
      <c r="B23" s="2" t="s">
        <v>1784</v>
      </c>
      <c r="C23" s="2" t="s">
        <v>1902</v>
      </c>
      <c r="D23" s="2" t="s">
        <v>299</v>
      </c>
      <c r="E23" s="2" t="s">
        <v>1882</v>
      </c>
      <c r="F23" s="2" t="s">
        <v>260</v>
      </c>
      <c r="G23" s="2" t="s">
        <v>98</v>
      </c>
      <c r="H23" s="2" t="s">
        <v>1883</v>
      </c>
      <c r="I23" s="2" t="s">
        <v>691</v>
      </c>
      <c r="J23" s="2" t="s">
        <v>1903</v>
      </c>
      <c r="K23" s="2" t="s">
        <v>1904</v>
      </c>
      <c r="L23" s="2">
        <v>1</v>
      </c>
      <c r="M23" s="2" t="s">
        <v>397</v>
      </c>
      <c r="N23" s="2" t="s">
        <v>395</v>
      </c>
      <c r="O23" s="2" t="s">
        <v>1693</v>
      </c>
      <c r="P23" s="2">
        <v>206</v>
      </c>
      <c r="Q23" s="2">
        <v>3</v>
      </c>
      <c r="R23" s="2" t="s">
        <v>1894</v>
      </c>
      <c r="S23" s="2" t="s">
        <v>1905</v>
      </c>
      <c r="T23" s="2" t="s">
        <v>1906</v>
      </c>
      <c r="U23" s="3" t="b">
        <v>1</v>
      </c>
    </row>
    <row r="24" spans="1:21">
      <c r="A24" s="2" t="s">
        <v>1907</v>
      </c>
      <c r="B24" s="2" t="s">
        <v>1784</v>
      </c>
      <c r="C24" s="2" t="s">
        <v>1902</v>
      </c>
      <c r="D24" s="2" t="s">
        <v>299</v>
      </c>
      <c r="E24" s="2" t="s">
        <v>1882</v>
      </c>
      <c r="F24" s="2" t="s">
        <v>260</v>
      </c>
      <c r="G24" s="2" t="s">
        <v>98</v>
      </c>
      <c r="H24" s="2" t="s">
        <v>1883</v>
      </c>
      <c r="I24" s="2" t="s">
        <v>691</v>
      </c>
      <c r="J24" s="2" t="s">
        <v>1908</v>
      </c>
      <c r="K24" s="2" t="s">
        <v>1904</v>
      </c>
      <c r="L24" s="2">
        <v>-1</v>
      </c>
      <c r="M24" s="2" t="s">
        <v>407</v>
      </c>
      <c r="N24" s="2" t="s">
        <v>395</v>
      </c>
      <c r="O24" s="2" t="s">
        <v>1693</v>
      </c>
      <c r="P24" s="2">
        <v>206</v>
      </c>
      <c r="Q24" s="2">
        <v>3</v>
      </c>
      <c r="R24" s="2" t="s">
        <v>1894</v>
      </c>
      <c r="S24" s="2" t="s">
        <v>1909</v>
      </c>
      <c r="T24" s="2" t="s">
        <v>1910</v>
      </c>
      <c r="U24" s="3" t="b">
        <v>1</v>
      </c>
    </row>
    <row r="25" spans="1:21">
      <c r="A25" s="2" t="s">
        <v>1911</v>
      </c>
      <c r="B25" s="2" t="s">
        <v>1784</v>
      </c>
      <c r="C25" s="2" t="s">
        <v>1912</v>
      </c>
      <c r="D25" s="2" t="s">
        <v>299</v>
      </c>
      <c r="E25" s="2" t="s">
        <v>1882</v>
      </c>
      <c r="F25" s="2" t="s">
        <v>260</v>
      </c>
      <c r="G25" s="2" t="s">
        <v>98</v>
      </c>
      <c r="H25" s="2" t="s">
        <v>1724</v>
      </c>
      <c r="I25" s="2" t="s">
        <v>386</v>
      </c>
      <c r="J25" s="2" t="s">
        <v>1913</v>
      </c>
      <c r="K25" s="2" t="s">
        <v>1914</v>
      </c>
      <c r="L25" s="2">
        <v>0</v>
      </c>
      <c r="M25" s="2" t="s">
        <v>715</v>
      </c>
      <c r="N25" s="2" t="s">
        <v>107</v>
      </c>
      <c r="O25" s="2" t="s">
        <v>1730</v>
      </c>
      <c r="P25" s="2">
        <v>30</v>
      </c>
      <c r="Q25" s="2">
        <v>3</v>
      </c>
      <c r="R25" s="2" t="s">
        <v>1894</v>
      </c>
      <c r="S25" s="2" t="s">
        <v>1915</v>
      </c>
      <c r="T25" s="2" t="s">
        <v>1916</v>
      </c>
      <c r="U25" s="3" t="b">
        <v>1</v>
      </c>
    </row>
    <row r="26" spans="1:21" ht="28">
      <c r="A26" s="2" t="s">
        <v>1917</v>
      </c>
      <c r="B26" s="2" t="s">
        <v>1391</v>
      </c>
      <c r="C26" s="2" t="s">
        <v>1918</v>
      </c>
      <c r="D26" s="2" t="s">
        <v>124</v>
      </c>
      <c r="E26" s="2" t="s">
        <v>1919</v>
      </c>
      <c r="F26" s="2" t="s">
        <v>1391</v>
      </c>
      <c r="G26" s="2" t="s">
        <v>129</v>
      </c>
      <c r="H26" s="2" t="s">
        <v>1787</v>
      </c>
      <c r="I26" s="2" t="s">
        <v>443</v>
      </c>
      <c r="J26" s="2" t="s">
        <v>1920</v>
      </c>
      <c r="K26" s="2" t="s">
        <v>443</v>
      </c>
      <c r="L26" s="2">
        <v>-1</v>
      </c>
      <c r="M26" s="2" t="s">
        <v>407</v>
      </c>
      <c r="N26" s="2" t="s">
        <v>395</v>
      </c>
      <c r="O26" s="2" t="s">
        <v>1921</v>
      </c>
      <c r="P26" s="2">
        <v>25</v>
      </c>
      <c r="Q26" s="2">
        <v>3</v>
      </c>
      <c r="R26" s="2" t="s">
        <v>1790</v>
      </c>
      <c r="S26" s="2" t="s">
        <v>1922</v>
      </c>
      <c r="T26" s="2" t="s">
        <v>1923</v>
      </c>
      <c r="U26" s="3" t="b">
        <v>0</v>
      </c>
    </row>
    <row r="27" spans="1:21">
      <c r="A27" s="2" t="s">
        <v>1924</v>
      </c>
      <c r="B27" s="2" t="s">
        <v>1391</v>
      </c>
      <c r="C27" s="2" t="s">
        <v>1918</v>
      </c>
      <c r="D27" s="2" t="s">
        <v>124</v>
      </c>
      <c r="E27" s="2" t="s">
        <v>1919</v>
      </c>
      <c r="F27" s="2" t="s">
        <v>1391</v>
      </c>
      <c r="G27" s="2" t="s">
        <v>129</v>
      </c>
      <c r="H27" s="2" t="s">
        <v>1787</v>
      </c>
      <c r="I27" s="2" t="s">
        <v>775</v>
      </c>
      <c r="J27" s="2" t="s">
        <v>1925</v>
      </c>
      <c r="K27" s="2" t="s">
        <v>775</v>
      </c>
      <c r="L27" s="2">
        <v>2</v>
      </c>
      <c r="M27" s="2" t="s">
        <v>1279</v>
      </c>
      <c r="N27" s="2" t="s">
        <v>395</v>
      </c>
      <c r="O27" s="2" t="s">
        <v>1926</v>
      </c>
      <c r="P27" s="2">
        <v>25</v>
      </c>
      <c r="Q27" s="2">
        <v>3</v>
      </c>
      <c r="R27" s="2" t="s">
        <v>1790</v>
      </c>
      <c r="S27" s="2" t="s">
        <v>1927</v>
      </c>
      <c r="T27" s="2" t="s">
        <v>1928</v>
      </c>
      <c r="U27" s="3" t="b">
        <v>0</v>
      </c>
    </row>
    <row r="28" spans="1:21" ht="42">
      <c r="A28" s="2" t="s">
        <v>1929</v>
      </c>
      <c r="B28" s="2" t="s">
        <v>1391</v>
      </c>
      <c r="C28" s="2" t="s">
        <v>1918</v>
      </c>
      <c r="D28" s="2" t="s">
        <v>124</v>
      </c>
      <c r="E28" s="2" t="s">
        <v>1919</v>
      </c>
      <c r="F28" s="2" t="s">
        <v>1391</v>
      </c>
      <c r="G28" s="2" t="s">
        <v>129</v>
      </c>
      <c r="H28" s="2" t="s">
        <v>1787</v>
      </c>
      <c r="I28" s="2" t="s">
        <v>386</v>
      </c>
      <c r="J28" s="2" t="s">
        <v>1930</v>
      </c>
      <c r="K28" s="2" t="s">
        <v>1838</v>
      </c>
      <c r="L28" s="2">
        <v>2</v>
      </c>
      <c r="M28" s="2" t="s">
        <v>1279</v>
      </c>
      <c r="N28" s="2" t="s">
        <v>395</v>
      </c>
      <c r="O28" s="2" t="s">
        <v>1931</v>
      </c>
      <c r="P28" s="2">
        <v>25</v>
      </c>
      <c r="Q28" s="2">
        <v>3</v>
      </c>
      <c r="R28" s="2" t="s">
        <v>1790</v>
      </c>
      <c r="S28" s="2" t="s">
        <v>1932</v>
      </c>
      <c r="T28" s="2" t="s">
        <v>1933</v>
      </c>
      <c r="U28" s="3" t="b">
        <v>0</v>
      </c>
    </row>
    <row r="29" spans="1:21">
      <c r="A29" s="2" t="s">
        <v>1934</v>
      </c>
      <c r="B29" s="2" t="s">
        <v>1935</v>
      </c>
      <c r="C29" s="2" t="s">
        <v>1936</v>
      </c>
      <c r="D29" s="2" t="s">
        <v>110</v>
      </c>
      <c r="E29" s="2" t="s">
        <v>1937</v>
      </c>
      <c r="F29" s="2" t="s">
        <v>789</v>
      </c>
      <c r="G29" s="2" t="s">
        <v>98</v>
      </c>
      <c r="H29" s="2" t="s">
        <v>1938</v>
      </c>
      <c r="I29" s="2" t="s">
        <v>443</v>
      </c>
      <c r="J29" s="2" t="s">
        <v>1939</v>
      </c>
      <c r="K29" s="2" t="s">
        <v>443</v>
      </c>
      <c r="L29" s="2">
        <v>-1</v>
      </c>
      <c r="M29" s="2" t="s">
        <v>407</v>
      </c>
      <c r="N29" s="2" t="s">
        <v>395</v>
      </c>
      <c r="O29" s="2" t="s">
        <v>1940</v>
      </c>
      <c r="P29" s="2">
        <v>14</v>
      </c>
      <c r="Q29" s="2">
        <v>2</v>
      </c>
      <c r="R29" s="2" t="s">
        <v>1790</v>
      </c>
      <c r="S29" s="2" t="s">
        <v>1941</v>
      </c>
      <c r="T29" s="2" t="s">
        <v>1942</v>
      </c>
      <c r="U29" s="3" t="b">
        <v>1</v>
      </c>
    </row>
    <row r="30" spans="1:21">
      <c r="A30" s="2" t="s">
        <v>1943</v>
      </c>
      <c r="B30" s="2" t="s">
        <v>1935</v>
      </c>
      <c r="C30" s="2" t="s">
        <v>1944</v>
      </c>
      <c r="D30" s="2" t="s">
        <v>110</v>
      </c>
      <c r="E30" s="2" t="s">
        <v>1945</v>
      </c>
      <c r="F30" s="2" t="s">
        <v>795</v>
      </c>
      <c r="G30" s="2" t="s">
        <v>98</v>
      </c>
      <c r="H30" s="2" t="s">
        <v>1946</v>
      </c>
      <c r="I30" s="2" t="s">
        <v>443</v>
      </c>
      <c r="J30" s="2" t="s">
        <v>1947</v>
      </c>
      <c r="K30" s="2" t="s">
        <v>1948</v>
      </c>
      <c r="L30" s="2">
        <v>0</v>
      </c>
      <c r="M30" s="2" t="s">
        <v>715</v>
      </c>
      <c r="N30" s="2" t="s">
        <v>107</v>
      </c>
      <c r="O30" s="2" t="s">
        <v>1949</v>
      </c>
      <c r="P30" s="2">
        <v>14</v>
      </c>
      <c r="Q30" s="2">
        <v>2</v>
      </c>
      <c r="R30" s="2" t="s">
        <v>1790</v>
      </c>
      <c r="S30" s="2" t="s">
        <v>1950</v>
      </c>
      <c r="T30" s="2" t="s">
        <v>1951</v>
      </c>
      <c r="U30" s="3" t="b">
        <v>1</v>
      </c>
    </row>
    <row r="31" spans="1:21" ht="28">
      <c r="A31" s="2" t="s">
        <v>1952</v>
      </c>
      <c r="B31" s="2" t="s">
        <v>1935</v>
      </c>
      <c r="C31" s="2" t="s">
        <v>1953</v>
      </c>
      <c r="D31" s="2" t="s">
        <v>110</v>
      </c>
      <c r="E31" s="2" t="s">
        <v>1954</v>
      </c>
      <c r="F31" s="2" t="s">
        <v>1935</v>
      </c>
      <c r="G31" s="2" t="s">
        <v>98</v>
      </c>
      <c r="H31" s="2" t="s">
        <v>1955</v>
      </c>
      <c r="I31" s="2" t="s">
        <v>775</v>
      </c>
      <c r="J31" s="2" t="s">
        <v>1956</v>
      </c>
      <c r="K31" s="2" t="s">
        <v>775</v>
      </c>
      <c r="L31" s="2">
        <v>2</v>
      </c>
      <c r="M31" s="2" t="s">
        <v>1279</v>
      </c>
      <c r="N31" s="2" t="s">
        <v>395</v>
      </c>
      <c r="O31" s="2" t="s">
        <v>1957</v>
      </c>
      <c r="P31" s="2">
        <v>14</v>
      </c>
      <c r="Q31" s="2">
        <v>2</v>
      </c>
      <c r="R31" s="2" t="s">
        <v>1790</v>
      </c>
      <c r="S31" s="2" t="s">
        <v>1958</v>
      </c>
      <c r="T31" s="2" t="s">
        <v>1959</v>
      </c>
      <c r="U31" s="3" t="b">
        <v>1</v>
      </c>
    </row>
    <row r="32" spans="1:21">
      <c r="A32" s="2" t="s">
        <v>1960</v>
      </c>
      <c r="B32" s="2" t="s">
        <v>1935</v>
      </c>
      <c r="C32" s="2" t="s">
        <v>1961</v>
      </c>
      <c r="D32" s="2" t="s">
        <v>265</v>
      </c>
      <c r="E32" s="2" t="s">
        <v>1962</v>
      </c>
      <c r="F32" s="2" t="s">
        <v>1493</v>
      </c>
      <c r="G32" s="2" t="s">
        <v>98</v>
      </c>
      <c r="H32" s="2" t="s">
        <v>1963</v>
      </c>
      <c r="I32" s="2" t="s">
        <v>443</v>
      </c>
      <c r="J32" s="2" t="s">
        <v>1964</v>
      </c>
      <c r="K32" s="2" t="s">
        <v>443</v>
      </c>
      <c r="L32" s="2">
        <v>-1</v>
      </c>
      <c r="M32" s="2" t="s">
        <v>407</v>
      </c>
      <c r="N32" s="2" t="s">
        <v>395</v>
      </c>
      <c r="O32" s="2" t="s">
        <v>1965</v>
      </c>
      <c r="P32" s="2">
        <v>70</v>
      </c>
      <c r="Q32" s="2">
        <v>3</v>
      </c>
      <c r="R32" s="2" t="s">
        <v>1790</v>
      </c>
      <c r="S32" s="2" t="s">
        <v>1966</v>
      </c>
      <c r="T32" s="2" t="s">
        <v>1967</v>
      </c>
      <c r="U32" s="3" t="b">
        <v>1</v>
      </c>
    </row>
    <row r="33" spans="1:21">
      <c r="A33" s="2" t="s">
        <v>1968</v>
      </c>
      <c r="B33" s="2" t="s">
        <v>1935</v>
      </c>
      <c r="C33" s="2" t="s">
        <v>1961</v>
      </c>
      <c r="D33" s="2" t="s">
        <v>265</v>
      </c>
      <c r="E33" s="2" t="s">
        <v>1969</v>
      </c>
      <c r="F33" s="2" t="s">
        <v>1508</v>
      </c>
      <c r="G33" s="2" t="s">
        <v>98</v>
      </c>
      <c r="H33" s="2" t="s">
        <v>1970</v>
      </c>
      <c r="I33" s="2" t="s">
        <v>443</v>
      </c>
      <c r="J33" s="2" t="s">
        <v>1971</v>
      </c>
      <c r="K33" s="2" t="s">
        <v>1948</v>
      </c>
      <c r="L33" s="2">
        <v>2</v>
      </c>
      <c r="M33" s="2" t="s">
        <v>1279</v>
      </c>
      <c r="N33" s="2" t="s">
        <v>395</v>
      </c>
      <c r="O33" s="2" t="s">
        <v>1972</v>
      </c>
      <c r="P33" s="2">
        <v>51</v>
      </c>
      <c r="Q33" s="2">
        <v>3</v>
      </c>
      <c r="R33" s="2" t="s">
        <v>926</v>
      </c>
      <c r="S33" s="2" t="s">
        <v>1973</v>
      </c>
      <c r="T33" s="2" t="s">
        <v>1974</v>
      </c>
      <c r="U33" s="3" t="b">
        <v>1</v>
      </c>
    </row>
    <row r="34" spans="1:21" ht="28">
      <c r="A34" s="2" t="s">
        <v>1975</v>
      </c>
      <c r="B34" s="2" t="s">
        <v>1935</v>
      </c>
      <c r="C34" s="2" t="s">
        <v>1976</v>
      </c>
      <c r="D34" s="2" t="s">
        <v>265</v>
      </c>
      <c r="E34" s="2" t="s">
        <v>1969</v>
      </c>
      <c r="F34" s="2" t="s">
        <v>1508</v>
      </c>
      <c r="G34" s="2" t="s">
        <v>98</v>
      </c>
      <c r="H34" s="2" t="s">
        <v>1977</v>
      </c>
      <c r="I34" s="2" t="s">
        <v>580</v>
      </c>
      <c r="J34" s="2" t="s">
        <v>1978</v>
      </c>
      <c r="K34" s="2" t="s">
        <v>1979</v>
      </c>
      <c r="L34" s="2">
        <v>-1</v>
      </c>
      <c r="M34" s="2" t="s">
        <v>407</v>
      </c>
      <c r="N34" s="2" t="s">
        <v>395</v>
      </c>
      <c r="O34" s="2" t="s">
        <v>1980</v>
      </c>
      <c r="P34" s="2">
        <v>51</v>
      </c>
      <c r="Q34" s="2">
        <v>3</v>
      </c>
      <c r="R34" s="2" t="s">
        <v>1981</v>
      </c>
      <c r="S34" s="2" t="s">
        <v>1982</v>
      </c>
      <c r="T34" s="2" t="s">
        <v>1983</v>
      </c>
      <c r="U34" s="3" t="b">
        <v>1</v>
      </c>
    </row>
    <row r="35" spans="1:21">
      <c r="A35" s="2" t="s">
        <v>1984</v>
      </c>
      <c r="B35" s="2" t="s">
        <v>1935</v>
      </c>
      <c r="C35" s="2" t="s">
        <v>1985</v>
      </c>
      <c r="D35" s="2" t="s">
        <v>265</v>
      </c>
      <c r="E35" s="2" t="s">
        <v>1969</v>
      </c>
      <c r="F35" s="2" t="s">
        <v>1508</v>
      </c>
      <c r="G35" s="2" t="s">
        <v>98</v>
      </c>
      <c r="H35" s="2" t="s">
        <v>1977</v>
      </c>
      <c r="I35" s="2" t="s">
        <v>386</v>
      </c>
      <c r="J35" s="2" t="s">
        <v>1986</v>
      </c>
      <c r="K35" s="2" t="s">
        <v>1838</v>
      </c>
      <c r="L35" s="2">
        <v>2</v>
      </c>
      <c r="M35" s="2" t="s">
        <v>1279</v>
      </c>
      <c r="N35" s="2" t="s">
        <v>395</v>
      </c>
      <c r="O35" s="2" t="s">
        <v>1987</v>
      </c>
      <c r="P35" s="2">
        <v>51</v>
      </c>
      <c r="Q35" s="2">
        <v>3</v>
      </c>
      <c r="R35" s="2" t="s">
        <v>1981</v>
      </c>
      <c r="S35" s="2" t="s">
        <v>1988</v>
      </c>
      <c r="T35" s="2" t="s">
        <v>1989</v>
      </c>
      <c r="U35" s="3" t="b">
        <v>1</v>
      </c>
    </row>
    <row r="36" spans="1:21">
      <c r="A36" s="2" t="s">
        <v>1990</v>
      </c>
      <c r="B36" s="2" t="s">
        <v>1935</v>
      </c>
      <c r="C36" s="2" t="s">
        <v>1991</v>
      </c>
      <c r="D36" s="2" t="s">
        <v>265</v>
      </c>
      <c r="E36" s="2" t="s">
        <v>1969</v>
      </c>
      <c r="F36" s="2" t="s">
        <v>1508</v>
      </c>
      <c r="G36" s="2" t="s">
        <v>98</v>
      </c>
      <c r="H36" s="2" t="s">
        <v>1992</v>
      </c>
      <c r="I36" s="2" t="s">
        <v>580</v>
      </c>
      <c r="J36" s="2" t="s">
        <v>1993</v>
      </c>
      <c r="K36" s="2" t="s">
        <v>1994</v>
      </c>
      <c r="L36" s="2">
        <v>-1</v>
      </c>
      <c r="M36" s="2" t="s">
        <v>407</v>
      </c>
      <c r="N36" s="2" t="s">
        <v>395</v>
      </c>
      <c r="O36" s="2" t="s">
        <v>1995</v>
      </c>
      <c r="P36" s="2">
        <v>51</v>
      </c>
      <c r="Q36" s="2">
        <v>3</v>
      </c>
      <c r="R36" s="2" t="s">
        <v>1768</v>
      </c>
      <c r="S36" s="2" t="s">
        <v>1996</v>
      </c>
      <c r="T36" s="2" t="s">
        <v>1997</v>
      </c>
      <c r="U36" s="3" t="b">
        <v>1</v>
      </c>
    </row>
    <row r="37" spans="1:21">
      <c r="A37" s="2" t="s">
        <v>1998</v>
      </c>
      <c r="B37" s="2" t="s">
        <v>1935</v>
      </c>
      <c r="C37" s="2" t="s">
        <v>1999</v>
      </c>
      <c r="D37" s="2" t="s">
        <v>277</v>
      </c>
      <c r="E37" s="2" t="s">
        <v>2000</v>
      </c>
      <c r="F37" s="2" t="s">
        <v>789</v>
      </c>
      <c r="G37" s="2" t="s">
        <v>98</v>
      </c>
      <c r="H37" s="2" t="s">
        <v>2001</v>
      </c>
      <c r="I37" s="2" t="s">
        <v>443</v>
      </c>
      <c r="J37" s="2" t="s">
        <v>2002</v>
      </c>
      <c r="K37" s="2" t="s">
        <v>443</v>
      </c>
      <c r="L37" s="2">
        <v>-1</v>
      </c>
      <c r="M37" s="2" t="s">
        <v>407</v>
      </c>
      <c r="N37" s="2" t="s">
        <v>395</v>
      </c>
      <c r="O37" s="2" t="s">
        <v>2003</v>
      </c>
      <c r="P37" s="2">
        <v>29</v>
      </c>
      <c r="Q37" s="2">
        <v>3</v>
      </c>
      <c r="R37" s="2" t="s">
        <v>926</v>
      </c>
      <c r="S37" s="2" t="s">
        <v>2004</v>
      </c>
      <c r="T37" s="2" t="s">
        <v>2005</v>
      </c>
      <c r="U37" s="3" t="b">
        <v>1</v>
      </c>
    </row>
    <row r="38" spans="1:21">
      <c r="A38" s="2" t="s">
        <v>2006</v>
      </c>
      <c r="B38" s="2" t="s">
        <v>1935</v>
      </c>
      <c r="C38" s="2" t="s">
        <v>2007</v>
      </c>
      <c r="D38" s="2" t="s">
        <v>277</v>
      </c>
      <c r="E38" s="2" t="s">
        <v>2000</v>
      </c>
      <c r="F38" s="2" t="s">
        <v>789</v>
      </c>
      <c r="G38" s="2" t="s">
        <v>98</v>
      </c>
      <c r="H38" s="2" t="s">
        <v>2008</v>
      </c>
      <c r="I38" s="2" t="s">
        <v>443</v>
      </c>
      <c r="J38" s="2" t="s">
        <v>2009</v>
      </c>
      <c r="K38" s="2" t="s">
        <v>1822</v>
      </c>
      <c r="L38" s="2">
        <v>-1</v>
      </c>
      <c r="M38" s="2" t="s">
        <v>407</v>
      </c>
      <c r="N38" s="2" t="s">
        <v>395</v>
      </c>
      <c r="O38" s="2" t="s">
        <v>2010</v>
      </c>
      <c r="P38" s="2">
        <v>52</v>
      </c>
      <c r="Q38" s="2">
        <v>3</v>
      </c>
      <c r="R38" s="2" t="s">
        <v>2011</v>
      </c>
      <c r="S38" s="2" t="s">
        <v>2012</v>
      </c>
      <c r="T38" s="2" t="s">
        <v>2013</v>
      </c>
      <c r="U38" s="3" t="b">
        <v>1</v>
      </c>
    </row>
    <row r="39" spans="1:21">
      <c r="A39" s="2" t="s">
        <v>2014</v>
      </c>
      <c r="B39" s="2" t="s">
        <v>1935</v>
      </c>
      <c r="C39" s="2" t="s">
        <v>2015</v>
      </c>
      <c r="D39" s="2" t="s">
        <v>277</v>
      </c>
      <c r="E39" s="2" t="s">
        <v>2000</v>
      </c>
      <c r="F39" s="2" t="s">
        <v>789</v>
      </c>
      <c r="G39" s="2" t="s">
        <v>98</v>
      </c>
      <c r="H39" s="2" t="s">
        <v>2016</v>
      </c>
      <c r="I39" s="2" t="s">
        <v>386</v>
      </c>
      <c r="J39" s="2" t="s">
        <v>2017</v>
      </c>
      <c r="K39" s="2" t="s">
        <v>1809</v>
      </c>
      <c r="L39" s="2">
        <v>-1</v>
      </c>
      <c r="M39" s="2" t="s">
        <v>407</v>
      </c>
      <c r="N39" s="2" t="s">
        <v>395</v>
      </c>
      <c r="O39" s="2" t="s">
        <v>2018</v>
      </c>
      <c r="P39" s="2">
        <v>52</v>
      </c>
      <c r="Q39" s="2">
        <v>3</v>
      </c>
      <c r="R39" s="2" t="s">
        <v>2019</v>
      </c>
      <c r="S39" s="2" t="s">
        <v>2020</v>
      </c>
      <c r="T39" s="2" t="s">
        <v>2021</v>
      </c>
      <c r="U39" s="3" t="b">
        <v>1</v>
      </c>
    </row>
    <row r="40" spans="1:21">
      <c r="A40" s="2" t="s">
        <v>2022</v>
      </c>
      <c r="B40" s="2" t="s">
        <v>1935</v>
      </c>
      <c r="C40" s="2" t="s">
        <v>2015</v>
      </c>
      <c r="D40" s="2" t="s">
        <v>277</v>
      </c>
      <c r="E40" s="2" t="s">
        <v>2000</v>
      </c>
      <c r="F40" s="2" t="s">
        <v>789</v>
      </c>
      <c r="G40" s="2" t="s">
        <v>98</v>
      </c>
      <c r="H40" s="2" t="s">
        <v>2016</v>
      </c>
      <c r="I40" s="2" t="s">
        <v>386</v>
      </c>
      <c r="J40" s="2" t="s">
        <v>2023</v>
      </c>
      <c r="K40" s="2" t="s">
        <v>1838</v>
      </c>
      <c r="L40" s="2">
        <v>1</v>
      </c>
      <c r="M40" s="2" t="s">
        <v>397</v>
      </c>
      <c r="N40" s="2" t="s">
        <v>395</v>
      </c>
      <c r="O40" s="2" t="s">
        <v>1848</v>
      </c>
      <c r="P40" s="2">
        <v>52</v>
      </c>
      <c r="Q40" s="2">
        <v>3</v>
      </c>
      <c r="R40" s="2" t="s">
        <v>2019</v>
      </c>
      <c r="S40" s="2" t="s">
        <v>2024</v>
      </c>
      <c r="T40" s="2" t="s">
        <v>2025</v>
      </c>
      <c r="U40" s="3" t="b">
        <v>1</v>
      </c>
    </row>
    <row r="41" spans="1:21">
      <c r="A41" s="2" t="s">
        <v>2026</v>
      </c>
      <c r="B41" s="2" t="s">
        <v>1935</v>
      </c>
      <c r="C41" s="2" t="s">
        <v>2027</v>
      </c>
      <c r="D41" s="2" t="s">
        <v>289</v>
      </c>
      <c r="E41" s="2" t="s">
        <v>2028</v>
      </c>
      <c r="F41" s="2" t="s">
        <v>1638</v>
      </c>
      <c r="G41" s="2" t="s">
        <v>98</v>
      </c>
      <c r="H41" s="2" t="s">
        <v>2029</v>
      </c>
      <c r="I41" s="2" t="s">
        <v>443</v>
      </c>
      <c r="J41" s="2" t="s">
        <v>2030</v>
      </c>
      <c r="K41" s="2" t="s">
        <v>1948</v>
      </c>
      <c r="L41" s="2">
        <v>0</v>
      </c>
      <c r="M41" s="2" t="s">
        <v>715</v>
      </c>
      <c r="N41" s="2" t="s">
        <v>107</v>
      </c>
      <c r="O41" s="2" t="s">
        <v>1742</v>
      </c>
      <c r="P41" s="2">
        <v>18</v>
      </c>
      <c r="Q41" s="2">
        <v>3</v>
      </c>
      <c r="R41" s="2" t="s">
        <v>1790</v>
      </c>
      <c r="S41" s="2" t="s">
        <v>2031</v>
      </c>
      <c r="T41" s="2" t="s">
        <v>2032</v>
      </c>
      <c r="U41" s="3" t="b">
        <v>1</v>
      </c>
    </row>
    <row r="42" spans="1:21">
      <c r="A42" s="2" t="s">
        <v>2033</v>
      </c>
      <c r="B42" s="2" t="s">
        <v>1935</v>
      </c>
      <c r="C42" s="2" t="s">
        <v>2034</v>
      </c>
      <c r="D42" s="2" t="s">
        <v>216</v>
      </c>
      <c r="E42" s="2" t="s">
        <v>2035</v>
      </c>
      <c r="F42" s="2" t="s">
        <v>221</v>
      </c>
      <c r="G42" s="2" t="s">
        <v>98</v>
      </c>
      <c r="H42" s="2" t="s">
        <v>2036</v>
      </c>
      <c r="I42" s="2" t="s">
        <v>443</v>
      </c>
      <c r="J42" s="2" t="s">
        <v>2037</v>
      </c>
      <c r="K42" s="2" t="s">
        <v>443</v>
      </c>
      <c r="L42" s="2">
        <v>2</v>
      </c>
      <c r="M42" s="2" t="s">
        <v>1279</v>
      </c>
      <c r="N42" s="2" t="s">
        <v>395</v>
      </c>
      <c r="O42" s="2" t="s">
        <v>1869</v>
      </c>
      <c r="P42" s="2">
        <v>62</v>
      </c>
      <c r="Q42" s="2">
        <v>3</v>
      </c>
      <c r="R42" s="2" t="s">
        <v>2038</v>
      </c>
      <c r="S42" s="2" t="s">
        <v>2039</v>
      </c>
      <c r="T42" s="2" t="s">
        <v>2040</v>
      </c>
      <c r="U42" s="3" t="b">
        <v>1</v>
      </c>
    </row>
    <row r="43" spans="1:21" ht="28">
      <c r="A43" s="2" t="s">
        <v>2041</v>
      </c>
      <c r="B43" s="2" t="s">
        <v>1935</v>
      </c>
      <c r="C43" s="2" t="s">
        <v>2034</v>
      </c>
      <c r="D43" s="2" t="s">
        <v>216</v>
      </c>
      <c r="E43" s="2" t="s">
        <v>2035</v>
      </c>
      <c r="F43" s="2" t="s">
        <v>221</v>
      </c>
      <c r="G43" s="2" t="s">
        <v>98</v>
      </c>
      <c r="H43" s="2" t="s">
        <v>2036</v>
      </c>
      <c r="I43" s="2" t="s">
        <v>775</v>
      </c>
      <c r="J43" s="2" t="s">
        <v>2042</v>
      </c>
      <c r="K43" s="2" t="s">
        <v>775</v>
      </c>
      <c r="L43" s="2">
        <v>2</v>
      </c>
      <c r="M43" s="2" t="s">
        <v>1279</v>
      </c>
      <c r="N43" s="2" t="s">
        <v>395</v>
      </c>
      <c r="O43" s="2" t="s">
        <v>2043</v>
      </c>
      <c r="P43" s="2">
        <v>62</v>
      </c>
      <c r="Q43" s="2">
        <v>3</v>
      </c>
      <c r="R43" s="2" t="s">
        <v>1159</v>
      </c>
      <c r="S43" s="2" t="s">
        <v>2044</v>
      </c>
      <c r="T43" s="2" t="s">
        <v>2045</v>
      </c>
      <c r="U43" s="3" t="b">
        <v>1</v>
      </c>
    </row>
    <row r="44" spans="1:21">
      <c r="A44" s="2" t="s">
        <v>2046</v>
      </c>
      <c r="B44" s="2" t="s">
        <v>1935</v>
      </c>
      <c r="C44" s="2" t="s">
        <v>2047</v>
      </c>
      <c r="D44" s="2" t="s">
        <v>216</v>
      </c>
      <c r="E44" s="2" t="s">
        <v>2035</v>
      </c>
      <c r="F44" s="2" t="s">
        <v>221</v>
      </c>
      <c r="G44" s="2" t="s">
        <v>98</v>
      </c>
      <c r="H44" s="2" t="s">
        <v>1292</v>
      </c>
      <c r="I44" s="2" t="s">
        <v>386</v>
      </c>
      <c r="J44" s="2" t="s">
        <v>2048</v>
      </c>
      <c r="K44" s="2" t="s">
        <v>1838</v>
      </c>
      <c r="L44" s="2">
        <v>1</v>
      </c>
      <c r="M44" s="2" t="s">
        <v>397</v>
      </c>
      <c r="N44" s="2" t="s">
        <v>395</v>
      </c>
      <c r="O44" s="2" t="s">
        <v>2049</v>
      </c>
      <c r="P44" s="2">
        <v>62</v>
      </c>
      <c r="Q44" s="2">
        <v>3</v>
      </c>
      <c r="R44" s="2" t="s">
        <v>2050</v>
      </c>
      <c r="S44" s="2" t="s">
        <v>2051</v>
      </c>
      <c r="T44" s="2" t="s">
        <v>2052</v>
      </c>
      <c r="U44" s="3" t="b">
        <v>1</v>
      </c>
    </row>
    <row r="45" spans="1:21">
      <c r="A45" s="2" t="s">
        <v>2053</v>
      </c>
      <c r="B45" s="2" t="s">
        <v>1935</v>
      </c>
      <c r="C45" s="2" t="s">
        <v>2054</v>
      </c>
      <c r="D45" s="2" t="s">
        <v>216</v>
      </c>
      <c r="E45" s="2" t="s">
        <v>2035</v>
      </c>
      <c r="F45" s="2" t="s">
        <v>221</v>
      </c>
      <c r="G45" s="2" t="s">
        <v>98</v>
      </c>
      <c r="H45" s="2" t="s">
        <v>1292</v>
      </c>
      <c r="I45" s="2" t="s">
        <v>691</v>
      </c>
      <c r="J45" s="2" t="s">
        <v>2055</v>
      </c>
      <c r="K45" s="2" t="s">
        <v>1904</v>
      </c>
      <c r="L45" s="2">
        <v>1</v>
      </c>
      <c r="M45" s="2" t="s">
        <v>397</v>
      </c>
      <c r="N45" s="2" t="s">
        <v>395</v>
      </c>
      <c r="O45" s="2" t="s">
        <v>2049</v>
      </c>
      <c r="P45" s="2">
        <v>62</v>
      </c>
      <c r="Q45" s="2">
        <v>3</v>
      </c>
      <c r="R45" s="2" t="s">
        <v>2056</v>
      </c>
      <c r="S45" s="2" t="s">
        <v>2057</v>
      </c>
      <c r="T45" s="2" t="s">
        <v>2058</v>
      </c>
      <c r="U45" s="3" t="b">
        <v>1</v>
      </c>
    </row>
    <row r="46" spans="1:21">
      <c r="A46" s="2" t="s">
        <v>2059</v>
      </c>
      <c r="B46" s="2" t="s">
        <v>2060</v>
      </c>
      <c r="C46" s="2" t="s">
        <v>2061</v>
      </c>
      <c r="D46" s="2" t="s">
        <v>169</v>
      </c>
      <c r="E46" s="2" t="s">
        <v>2062</v>
      </c>
      <c r="F46" s="2" t="s">
        <v>174</v>
      </c>
      <c r="G46" s="2" t="s">
        <v>98</v>
      </c>
      <c r="H46" s="2" t="s">
        <v>2063</v>
      </c>
      <c r="I46" s="2" t="s">
        <v>443</v>
      </c>
      <c r="J46" s="2" t="s">
        <v>2064</v>
      </c>
      <c r="K46" s="2" t="s">
        <v>443</v>
      </c>
      <c r="L46" s="2">
        <v>-1</v>
      </c>
      <c r="M46" s="2" t="s">
        <v>407</v>
      </c>
      <c r="N46" s="2" t="s">
        <v>395</v>
      </c>
      <c r="O46" s="2" t="s">
        <v>2065</v>
      </c>
      <c r="P46" s="2">
        <v>16</v>
      </c>
      <c r="Q46" s="2">
        <v>2</v>
      </c>
      <c r="R46" s="2" t="s">
        <v>1768</v>
      </c>
      <c r="S46" s="2" t="s">
        <v>2066</v>
      </c>
      <c r="T46" s="2" t="s">
        <v>2067</v>
      </c>
      <c r="U46" s="3" t="b">
        <v>1</v>
      </c>
    </row>
    <row r="47" spans="1:21" ht="28">
      <c r="A47" s="2" t="s">
        <v>2068</v>
      </c>
      <c r="B47" s="2" t="s">
        <v>2060</v>
      </c>
      <c r="C47" s="2" t="s">
        <v>2069</v>
      </c>
      <c r="D47" s="2" t="s">
        <v>169</v>
      </c>
      <c r="E47" s="2" t="s">
        <v>2062</v>
      </c>
      <c r="F47" s="2" t="s">
        <v>174</v>
      </c>
      <c r="G47" s="2" t="s">
        <v>98</v>
      </c>
      <c r="H47" s="2" t="s">
        <v>2070</v>
      </c>
      <c r="I47" s="2" t="s">
        <v>775</v>
      </c>
      <c r="J47" s="2" t="s">
        <v>1847</v>
      </c>
      <c r="K47" s="2" t="s">
        <v>775</v>
      </c>
      <c r="L47" s="2">
        <v>2</v>
      </c>
      <c r="M47" s="2" t="s">
        <v>1279</v>
      </c>
      <c r="N47" s="2" t="s">
        <v>395</v>
      </c>
      <c r="O47" s="2" t="s">
        <v>2071</v>
      </c>
      <c r="P47" s="2">
        <v>16</v>
      </c>
      <c r="Q47" s="2">
        <v>2</v>
      </c>
      <c r="R47" s="2" t="s">
        <v>1159</v>
      </c>
      <c r="S47" s="2" t="s">
        <v>2072</v>
      </c>
      <c r="T47" s="2" t="s">
        <v>2073</v>
      </c>
      <c r="U47" s="3" t="b">
        <v>1</v>
      </c>
    </row>
    <row r="48" spans="1:21">
      <c r="A48" s="2" t="s">
        <v>2074</v>
      </c>
      <c r="B48" s="2" t="s">
        <v>2060</v>
      </c>
      <c r="C48" s="2" t="s">
        <v>2075</v>
      </c>
      <c r="D48" s="2" t="s">
        <v>169</v>
      </c>
      <c r="E48" s="2" t="s">
        <v>2062</v>
      </c>
      <c r="F48" s="2" t="s">
        <v>174</v>
      </c>
      <c r="G48" s="2" t="s">
        <v>98</v>
      </c>
      <c r="H48" s="2" t="s">
        <v>1258</v>
      </c>
      <c r="I48" s="2" t="s">
        <v>386</v>
      </c>
      <c r="J48" s="2" t="s">
        <v>2076</v>
      </c>
      <c r="K48" s="2" t="s">
        <v>1809</v>
      </c>
      <c r="L48" s="2">
        <v>-1</v>
      </c>
      <c r="M48" s="2" t="s">
        <v>407</v>
      </c>
      <c r="N48" s="2" t="s">
        <v>395</v>
      </c>
      <c r="O48" s="2" t="s">
        <v>2077</v>
      </c>
      <c r="P48" s="2">
        <v>16</v>
      </c>
      <c r="Q48" s="2">
        <v>2</v>
      </c>
      <c r="R48" s="2" t="s">
        <v>2078</v>
      </c>
      <c r="S48" s="2" t="s">
        <v>2079</v>
      </c>
      <c r="T48" s="2" t="s">
        <v>2080</v>
      </c>
      <c r="U48" s="3" t="b">
        <v>1</v>
      </c>
    </row>
    <row r="49" spans="1:21">
      <c r="A49" s="2" t="s">
        <v>2081</v>
      </c>
      <c r="B49" s="2" t="s">
        <v>2060</v>
      </c>
      <c r="C49" s="2" t="s">
        <v>2082</v>
      </c>
      <c r="D49" s="2" t="s">
        <v>169</v>
      </c>
      <c r="E49" s="2" t="s">
        <v>2062</v>
      </c>
      <c r="F49" s="2" t="s">
        <v>174</v>
      </c>
      <c r="G49" s="2" t="s">
        <v>98</v>
      </c>
      <c r="H49" s="2" t="s">
        <v>1258</v>
      </c>
      <c r="I49" s="2" t="s">
        <v>1190</v>
      </c>
      <c r="J49" s="2" t="s">
        <v>2083</v>
      </c>
      <c r="K49" s="2" t="s">
        <v>1190</v>
      </c>
      <c r="L49" s="2">
        <v>1</v>
      </c>
      <c r="M49" s="2" t="s">
        <v>397</v>
      </c>
      <c r="N49" s="2" t="s">
        <v>749</v>
      </c>
      <c r="O49" s="2"/>
      <c r="P49" s="2">
        <v>16</v>
      </c>
      <c r="Q49" s="2">
        <v>2</v>
      </c>
      <c r="R49" s="2" t="s">
        <v>1863</v>
      </c>
      <c r="S49" s="2" t="s">
        <v>2084</v>
      </c>
      <c r="T49" s="2" t="s">
        <v>2085</v>
      </c>
      <c r="U49" s="3" t="b">
        <v>1</v>
      </c>
    </row>
    <row r="50" spans="1:21" ht="28">
      <c r="A50" s="2" t="s">
        <v>2086</v>
      </c>
      <c r="B50" s="2" t="s">
        <v>2060</v>
      </c>
      <c r="C50" s="2" t="s">
        <v>2087</v>
      </c>
      <c r="D50" s="2" t="s">
        <v>179</v>
      </c>
      <c r="E50" s="2" t="s">
        <v>2088</v>
      </c>
      <c r="F50" s="2" t="s">
        <v>1142</v>
      </c>
      <c r="G50" s="2" t="s">
        <v>98</v>
      </c>
      <c r="H50" s="2" t="s">
        <v>2089</v>
      </c>
      <c r="I50" s="2" t="s">
        <v>443</v>
      </c>
      <c r="J50" s="2" t="s">
        <v>2090</v>
      </c>
      <c r="K50" s="2" t="s">
        <v>443</v>
      </c>
      <c r="L50" s="2">
        <v>1</v>
      </c>
      <c r="M50" s="2" t="s">
        <v>397</v>
      </c>
      <c r="N50" s="2" t="s">
        <v>395</v>
      </c>
      <c r="O50" s="2" t="s">
        <v>2091</v>
      </c>
      <c r="P50" s="2">
        <v>58</v>
      </c>
      <c r="Q50" s="2">
        <v>2</v>
      </c>
      <c r="R50" s="2" t="s">
        <v>1790</v>
      </c>
      <c r="S50" s="2" t="s">
        <v>2092</v>
      </c>
      <c r="T50" s="2" t="s">
        <v>2093</v>
      </c>
      <c r="U50" s="3" t="b">
        <v>1</v>
      </c>
    </row>
    <row r="51" spans="1:21">
      <c r="A51" s="2" t="s">
        <v>2094</v>
      </c>
      <c r="B51" s="2" t="s">
        <v>2060</v>
      </c>
      <c r="C51" s="2" t="s">
        <v>2095</v>
      </c>
      <c r="D51" s="2" t="s">
        <v>179</v>
      </c>
      <c r="E51" s="2" t="s">
        <v>2088</v>
      </c>
      <c r="F51" s="2" t="s">
        <v>1142</v>
      </c>
      <c r="G51" s="2" t="s">
        <v>98</v>
      </c>
      <c r="H51" s="2" t="s">
        <v>2089</v>
      </c>
      <c r="I51" s="2" t="s">
        <v>775</v>
      </c>
      <c r="J51" s="2" t="s">
        <v>1847</v>
      </c>
      <c r="K51" s="2" t="s">
        <v>775</v>
      </c>
      <c r="L51" s="2">
        <v>2</v>
      </c>
      <c r="M51" s="2" t="s">
        <v>1279</v>
      </c>
      <c r="N51" s="2" t="s">
        <v>395</v>
      </c>
      <c r="O51" s="2" t="s">
        <v>1889</v>
      </c>
      <c r="P51" s="2">
        <v>58</v>
      </c>
      <c r="Q51" s="2">
        <v>2</v>
      </c>
      <c r="R51" s="2" t="s">
        <v>1159</v>
      </c>
      <c r="S51" s="2" t="s">
        <v>2096</v>
      </c>
      <c r="T51" s="2" t="s">
        <v>2097</v>
      </c>
      <c r="U51" s="3" t="b">
        <v>1</v>
      </c>
    </row>
    <row r="52" spans="1:21" ht="28">
      <c r="A52" s="2" t="s">
        <v>2098</v>
      </c>
      <c r="B52" s="2" t="s">
        <v>2060</v>
      </c>
      <c r="C52" s="2" t="s">
        <v>2099</v>
      </c>
      <c r="D52" s="2" t="s">
        <v>179</v>
      </c>
      <c r="E52" s="2" t="s">
        <v>2088</v>
      </c>
      <c r="F52" s="2" t="s">
        <v>1142</v>
      </c>
      <c r="G52" s="2" t="s">
        <v>98</v>
      </c>
      <c r="H52" s="2" t="s">
        <v>2089</v>
      </c>
      <c r="I52" s="2" t="s">
        <v>386</v>
      </c>
      <c r="J52" s="2" t="s">
        <v>2100</v>
      </c>
      <c r="K52" s="2" t="s">
        <v>1838</v>
      </c>
      <c r="L52" s="2">
        <v>1</v>
      </c>
      <c r="M52" s="2" t="s">
        <v>397</v>
      </c>
      <c r="N52" s="2" t="s">
        <v>395</v>
      </c>
      <c r="O52" s="2" t="s">
        <v>2101</v>
      </c>
      <c r="P52" s="2">
        <v>58</v>
      </c>
      <c r="Q52" s="2">
        <v>2</v>
      </c>
      <c r="R52" s="2" t="s">
        <v>1169</v>
      </c>
      <c r="S52" s="2" t="s">
        <v>2102</v>
      </c>
      <c r="T52" s="2" t="s">
        <v>2103</v>
      </c>
      <c r="U52" s="3" t="b">
        <v>1</v>
      </c>
    </row>
    <row r="53" spans="1:21">
      <c r="A53" s="2" t="s">
        <v>2104</v>
      </c>
      <c r="B53" s="2" t="s">
        <v>2060</v>
      </c>
      <c r="C53" s="2" t="s">
        <v>2105</v>
      </c>
      <c r="D53" s="2" t="s">
        <v>179</v>
      </c>
      <c r="E53" s="2" t="s">
        <v>2088</v>
      </c>
      <c r="F53" s="2" t="s">
        <v>1142</v>
      </c>
      <c r="G53" s="2" t="s">
        <v>98</v>
      </c>
      <c r="H53" s="2" t="s">
        <v>2089</v>
      </c>
      <c r="I53" s="2" t="s">
        <v>1190</v>
      </c>
      <c r="J53" s="2" t="s">
        <v>2106</v>
      </c>
      <c r="K53" s="2" t="s">
        <v>1190</v>
      </c>
      <c r="L53" s="2">
        <v>1</v>
      </c>
      <c r="M53" s="2" t="s">
        <v>397</v>
      </c>
      <c r="N53" s="2" t="s">
        <v>749</v>
      </c>
      <c r="O53" s="2"/>
      <c r="P53" s="2">
        <v>58</v>
      </c>
      <c r="Q53" s="2">
        <v>2</v>
      </c>
      <c r="R53" s="2" t="s">
        <v>1863</v>
      </c>
      <c r="S53" s="2" t="s">
        <v>2107</v>
      </c>
      <c r="T53" s="2" t="s">
        <v>2108</v>
      </c>
      <c r="U53" s="3" t="b">
        <v>1</v>
      </c>
    </row>
    <row r="54" spans="1:21">
      <c r="A54" s="2" t="s">
        <v>2109</v>
      </c>
      <c r="B54" s="2" t="s">
        <v>2060</v>
      </c>
      <c r="C54" s="2" t="s">
        <v>2110</v>
      </c>
      <c r="D54" s="2" t="s">
        <v>204</v>
      </c>
      <c r="E54" s="2" t="s">
        <v>2111</v>
      </c>
      <c r="F54" s="2" t="s">
        <v>1197</v>
      </c>
      <c r="G54" s="2" t="s">
        <v>98</v>
      </c>
      <c r="H54" s="2" t="s">
        <v>2112</v>
      </c>
      <c r="I54" s="2" t="s">
        <v>1201</v>
      </c>
      <c r="J54" s="2" t="s">
        <v>2113</v>
      </c>
      <c r="K54" s="2" t="s">
        <v>1201</v>
      </c>
      <c r="L54" s="2">
        <v>1</v>
      </c>
      <c r="M54" s="2" t="s">
        <v>397</v>
      </c>
      <c r="N54" s="2" t="s">
        <v>395</v>
      </c>
      <c r="O54" s="2" t="s">
        <v>2114</v>
      </c>
      <c r="P54" s="2">
        <v>49</v>
      </c>
      <c r="Q54" s="2">
        <v>3</v>
      </c>
      <c r="R54" s="2" t="s">
        <v>1235</v>
      </c>
      <c r="S54" s="2" t="s">
        <v>2115</v>
      </c>
      <c r="T54" s="2" t="s">
        <v>2116</v>
      </c>
      <c r="U54" s="3" t="b">
        <v>1</v>
      </c>
    </row>
    <row r="55" spans="1:21">
      <c r="A55" s="2" t="s">
        <v>2117</v>
      </c>
      <c r="B55" s="2" t="s">
        <v>2060</v>
      </c>
      <c r="C55" s="2" t="s">
        <v>2118</v>
      </c>
      <c r="D55" s="2" t="s">
        <v>204</v>
      </c>
      <c r="E55" s="2" t="s">
        <v>2111</v>
      </c>
      <c r="F55" s="2" t="s">
        <v>1197</v>
      </c>
      <c r="G55" s="2" t="s">
        <v>98</v>
      </c>
      <c r="H55" s="2" t="s">
        <v>2119</v>
      </c>
      <c r="I55" s="2" t="s">
        <v>1201</v>
      </c>
      <c r="J55" s="2" t="s">
        <v>2120</v>
      </c>
      <c r="K55" s="2" t="s">
        <v>1201</v>
      </c>
      <c r="L55" s="2">
        <v>1</v>
      </c>
      <c r="M55" s="2" t="s">
        <v>397</v>
      </c>
      <c r="N55" s="2" t="s">
        <v>395</v>
      </c>
      <c r="O55" s="2" t="s">
        <v>2114</v>
      </c>
      <c r="P55" s="2">
        <v>49</v>
      </c>
      <c r="Q55" s="2">
        <v>3</v>
      </c>
      <c r="R55" s="2" t="s">
        <v>1235</v>
      </c>
      <c r="S55" s="2" t="s">
        <v>2121</v>
      </c>
      <c r="T55" s="2" t="s">
        <v>2122</v>
      </c>
      <c r="U55" s="3" t="b">
        <v>1</v>
      </c>
    </row>
    <row r="56" spans="1:21">
      <c r="A56" s="2" t="s">
        <v>2123</v>
      </c>
      <c r="B56" s="2" t="s">
        <v>2060</v>
      </c>
      <c r="C56" s="2" t="s">
        <v>2124</v>
      </c>
      <c r="D56" s="2" t="s">
        <v>204</v>
      </c>
      <c r="E56" s="2" t="s">
        <v>2111</v>
      </c>
      <c r="F56" s="2" t="s">
        <v>1197</v>
      </c>
      <c r="G56" s="2" t="s">
        <v>98</v>
      </c>
      <c r="H56" s="2" t="s">
        <v>2112</v>
      </c>
      <c r="I56" s="2" t="s">
        <v>1201</v>
      </c>
      <c r="J56" s="2" t="s">
        <v>2125</v>
      </c>
      <c r="K56" s="2" t="s">
        <v>1201</v>
      </c>
      <c r="L56" s="2">
        <v>1</v>
      </c>
      <c r="M56" s="2" t="s">
        <v>397</v>
      </c>
      <c r="N56" s="2" t="s">
        <v>395</v>
      </c>
      <c r="O56" s="2" t="s">
        <v>1926</v>
      </c>
      <c r="P56" s="2">
        <v>49</v>
      </c>
      <c r="Q56" s="2">
        <v>3</v>
      </c>
      <c r="R56" s="2" t="s">
        <v>1235</v>
      </c>
      <c r="S56" s="2" t="s">
        <v>2126</v>
      </c>
      <c r="T56" s="2" t="s">
        <v>2127</v>
      </c>
      <c r="U56" s="3" t="b">
        <v>1</v>
      </c>
    </row>
    <row r="57" spans="1:21">
      <c r="A57" s="2" t="s">
        <v>2128</v>
      </c>
      <c r="B57" s="2" t="s">
        <v>2060</v>
      </c>
      <c r="C57" s="2" t="s">
        <v>2129</v>
      </c>
      <c r="D57" s="2" t="s">
        <v>204</v>
      </c>
      <c r="E57" s="2" t="s">
        <v>2111</v>
      </c>
      <c r="F57" s="2" t="s">
        <v>1197</v>
      </c>
      <c r="G57" s="2" t="s">
        <v>98</v>
      </c>
      <c r="H57" s="2" t="s">
        <v>2119</v>
      </c>
      <c r="I57" s="2" t="s">
        <v>580</v>
      </c>
      <c r="J57" s="2" t="s">
        <v>2130</v>
      </c>
      <c r="K57" s="2" t="s">
        <v>1994</v>
      </c>
      <c r="L57" s="2">
        <v>-1</v>
      </c>
      <c r="M57" s="2" t="s">
        <v>407</v>
      </c>
      <c r="N57" s="2" t="s">
        <v>395</v>
      </c>
      <c r="O57" s="2" t="s">
        <v>2131</v>
      </c>
      <c r="P57" s="2">
        <v>49</v>
      </c>
      <c r="Q57" s="2">
        <v>3</v>
      </c>
      <c r="R57" s="2" t="s">
        <v>2132</v>
      </c>
      <c r="S57" s="2" t="s">
        <v>2133</v>
      </c>
      <c r="T57" s="2" t="s">
        <v>2134</v>
      </c>
      <c r="U57" s="3" t="b">
        <v>1</v>
      </c>
    </row>
    <row r="58" spans="1:21" ht="28">
      <c r="A58" s="2" t="s">
        <v>2135</v>
      </c>
      <c r="B58" s="2" t="s">
        <v>2060</v>
      </c>
      <c r="C58" s="2" t="s">
        <v>2136</v>
      </c>
      <c r="D58" s="2" t="s">
        <v>193</v>
      </c>
      <c r="E58" s="2" t="s">
        <v>2137</v>
      </c>
      <c r="F58" s="2" t="s">
        <v>889</v>
      </c>
      <c r="G58" s="2" t="s">
        <v>98</v>
      </c>
      <c r="H58" s="2" t="s">
        <v>2138</v>
      </c>
      <c r="I58" s="2" t="s">
        <v>386</v>
      </c>
      <c r="J58" s="2" t="s">
        <v>2139</v>
      </c>
      <c r="K58" s="2" t="s">
        <v>1914</v>
      </c>
      <c r="L58" s="2">
        <v>2</v>
      </c>
      <c r="M58" s="2" t="s">
        <v>1279</v>
      </c>
      <c r="N58" s="2" t="s">
        <v>395</v>
      </c>
      <c r="O58" s="2" t="s">
        <v>2049</v>
      </c>
      <c r="P58" s="2">
        <v>26</v>
      </c>
      <c r="Q58" s="2">
        <v>2</v>
      </c>
      <c r="R58" s="2" t="s">
        <v>2140</v>
      </c>
      <c r="S58" s="2" t="s">
        <v>2141</v>
      </c>
      <c r="T58" s="2" t="s">
        <v>2142</v>
      </c>
      <c r="U58" s="3" t="b">
        <v>1</v>
      </c>
    </row>
    <row r="59" spans="1:21" ht="28">
      <c r="A59" s="2" t="s">
        <v>2143</v>
      </c>
      <c r="B59" s="2" t="s">
        <v>2144</v>
      </c>
      <c r="C59" s="2" t="s">
        <v>2145</v>
      </c>
      <c r="D59" s="2" t="s">
        <v>92</v>
      </c>
      <c r="E59" s="2" t="s">
        <v>2146</v>
      </c>
      <c r="F59" s="2" t="s">
        <v>100</v>
      </c>
      <c r="G59" s="2" t="s">
        <v>98</v>
      </c>
      <c r="H59" s="2" t="s">
        <v>2147</v>
      </c>
      <c r="I59" s="2" t="s">
        <v>775</v>
      </c>
      <c r="J59" s="2" t="s">
        <v>2148</v>
      </c>
      <c r="K59" s="2" t="s">
        <v>2149</v>
      </c>
      <c r="L59" s="2">
        <v>2</v>
      </c>
      <c r="M59" s="2" t="s">
        <v>1279</v>
      </c>
      <c r="N59" s="2" t="s">
        <v>395</v>
      </c>
      <c r="O59" s="2" t="s">
        <v>2150</v>
      </c>
      <c r="P59" s="2">
        <v>12</v>
      </c>
      <c r="Q59" s="2">
        <v>2</v>
      </c>
      <c r="R59" s="2" t="s">
        <v>2151</v>
      </c>
      <c r="S59" s="2" t="s">
        <v>2152</v>
      </c>
      <c r="T59" s="2" t="s">
        <v>2153</v>
      </c>
      <c r="U59" s="3" t="b">
        <v>1</v>
      </c>
    </row>
    <row r="60" spans="1:21" ht="28">
      <c r="A60" s="2" t="s">
        <v>2154</v>
      </c>
      <c r="B60" s="2" t="s">
        <v>2144</v>
      </c>
      <c r="C60" s="2" t="s">
        <v>2155</v>
      </c>
      <c r="D60" s="2" t="s">
        <v>92</v>
      </c>
      <c r="E60" s="2" t="s">
        <v>2146</v>
      </c>
      <c r="F60" s="2" t="s">
        <v>100</v>
      </c>
      <c r="G60" s="2" t="s">
        <v>98</v>
      </c>
      <c r="H60" s="2" t="s">
        <v>1977</v>
      </c>
      <c r="I60" s="2" t="s">
        <v>691</v>
      </c>
      <c r="J60" s="2" t="s">
        <v>2156</v>
      </c>
      <c r="K60" s="2" t="s">
        <v>2149</v>
      </c>
      <c r="L60" s="2">
        <v>-1</v>
      </c>
      <c r="M60" s="2" t="s">
        <v>407</v>
      </c>
      <c r="N60" s="2" t="s">
        <v>395</v>
      </c>
      <c r="O60" s="2" t="s">
        <v>2157</v>
      </c>
      <c r="P60" s="2">
        <v>12</v>
      </c>
      <c r="Q60" s="2">
        <v>2</v>
      </c>
      <c r="R60" s="2" t="s">
        <v>2158</v>
      </c>
      <c r="S60" s="2" t="s">
        <v>2159</v>
      </c>
      <c r="T60" s="2" t="s">
        <v>2160</v>
      </c>
      <c r="U60" s="3" t="b">
        <v>1</v>
      </c>
    </row>
    <row r="61" spans="1:21" ht="28">
      <c r="A61" s="2" t="s">
        <v>2161</v>
      </c>
      <c r="B61" s="2" t="s">
        <v>2144</v>
      </c>
      <c r="C61" s="2" t="s">
        <v>2162</v>
      </c>
      <c r="D61" s="2" t="s">
        <v>92</v>
      </c>
      <c r="E61" s="2" t="s">
        <v>2146</v>
      </c>
      <c r="F61" s="2" t="s">
        <v>100</v>
      </c>
      <c r="G61" s="2" t="s">
        <v>98</v>
      </c>
      <c r="H61" s="2" t="s">
        <v>1977</v>
      </c>
      <c r="I61" s="2" t="s">
        <v>691</v>
      </c>
      <c r="J61" s="2" t="s">
        <v>2163</v>
      </c>
      <c r="K61" s="2" t="s">
        <v>2149</v>
      </c>
      <c r="L61" s="2">
        <v>-1</v>
      </c>
      <c r="M61" s="2" t="s">
        <v>407</v>
      </c>
      <c r="N61" s="2" t="s">
        <v>395</v>
      </c>
      <c r="O61" s="2" t="s">
        <v>2164</v>
      </c>
      <c r="P61" s="2">
        <v>12</v>
      </c>
      <c r="Q61" s="2">
        <v>2</v>
      </c>
      <c r="R61" s="2" t="s">
        <v>2165</v>
      </c>
      <c r="S61" s="2" t="s">
        <v>2166</v>
      </c>
      <c r="T61" s="2" t="s">
        <v>2167</v>
      </c>
      <c r="U61" s="3" t="b">
        <v>1</v>
      </c>
    </row>
    <row r="62" spans="1:21">
      <c r="A62" s="2" t="s">
        <v>2168</v>
      </c>
      <c r="B62" s="2" t="s">
        <v>2144</v>
      </c>
      <c r="C62" s="2" t="s">
        <v>2169</v>
      </c>
      <c r="D62" s="2" t="s">
        <v>193</v>
      </c>
      <c r="E62" s="2" t="s">
        <v>2137</v>
      </c>
      <c r="F62" s="2" t="s">
        <v>889</v>
      </c>
      <c r="G62" s="2" t="s">
        <v>98</v>
      </c>
      <c r="H62" s="2" t="s">
        <v>2170</v>
      </c>
      <c r="I62" s="2" t="s">
        <v>691</v>
      </c>
      <c r="J62" s="2" t="s">
        <v>2171</v>
      </c>
      <c r="K62" s="2" t="s">
        <v>1904</v>
      </c>
      <c r="L62" s="2">
        <v>-1</v>
      </c>
      <c r="M62" s="2" t="s">
        <v>407</v>
      </c>
      <c r="N62" s="2" t="s">
        <v>395</v>
      </c>
      <c r="O62" s="2" t="s">
        <v>2172</v>
      </c>
      <c r="P62" s="2">
        <v>26</v>
      </c>
      <c r="Q62" s="2">
        <v>2</v>
      </c>
      <c r="R62" s="2" t="s">
        <v>2173</v>
      </c>
      <c r="S62" s="2" t="s">
        <v>2174</v>
      </c>
      <c r="T62" s="2" t="s">
        <v>2175</v>
      </c>
      <c r="U62" s="3" t="b">
        <v>1</v>
      </c>
    </row>
    <row r="63" spans="1:21">
      <c r="A63" s="2" t="s">
        <v>2176</v>
      </c>
      <c r="B63" s="2" t="s">
        <v>2144</v>
      </c>
      <c r="C63" s="2" t="s">
        <v>2169</v>
      </c>
      <c r="D63" s="2" t="s">
        <v>193</v>
      </c>
      <c r="E63" s="2" t="s">
        <v>2137</v>
      </c>
      <c r="F63" s="2" t="s">
        <v>889</v>
      </c>
      <c r="G63" s="2" t="s">
        <v>98</v>
      </c>
      <c r="H63" s="2" t="s">
        <v>2170</v>
      </c>
      <c r="I63" s="2" t="s">
        <v>691</v>
      </c>
      <c r="J63" s="2" t="s">
        <v>2177</v>
      </c>
      <c r="K63" s="2" t="s">
        <v>1904</v>
      </c>
      <c r="L63" s="2">
        <v>1</v>
      </c>
      <c r="M63" s="2" t="s">
        <v>397</v>
      </c>
      <c r="N63" s="2" t="s">
        <v>395</v>
      </c>
      <c r="O63" s="2" t="s">
        <v>2172</v>
      </c>
      <c r="P63" s="2">
        <v>26</v>
      </c>
      <c r="Q63" s="2">
        <v>2</v>
      </c>
      <c r="R63" s="2" t="s">
        <v>2173</v>
      </c>
      <c r="S63" s="2" t="s">
        <v>2178</v>
      </c>
      <c r="T63" s="2" t="s">
        <v>2179</v>
      </c>
      <c r="U63" s="3" t="b">
        <v>1</v>
      </c>
    </row>
    <row r="64" spans="1:21">
      <c r="A64" s="2" t="s">
        <v>2180</v>
      </c>
      <c r="B64" s="2" t="s">
        <v>2181</v>
      </c>
      <c r="C64" s="2" t="s">
        <v>2182</v>
      </c>
      <c r="D64" s="2" t="s">
        <v>139</v>
      </c>
      <c r="E64" s="2" t="s">
        <v>2183</v>
      </c>
      <c r="F64" s="2" t="s">
        <v>1327</v>
      </c>
      <c r="G64" s="2" t="s">
        <v>98</v>
      </c>
      <c r="H64" s="2" t="s">
        <v>2184</v>
      </c>
      <c r="I64" s="2" t="s">
        <v>443</v>
      </c>
      <c r="J64" s="2" t="s">
        <v>2185</v>
      </c>
      <c r="K64" s="2" t="s">
        <v>443</v>
      </c>
      <c r="L64" s="2">
        <v>-1</v>
      </c>
      <c r="M64" s="2" t="s">
        <v>407</v>
      </c>
      <c r="N64" s="2" t="s">
        <v>395</v>
      </c>
      <c r="O64" s="2" t="s">
        <v>2049</v>
      </c>
      <c r="P64" s="2">
        <v>29</v>
      </c>
      <c r="Q64" s="2">
        <v>2</v>
      </c>
      <c r="R64" s="2" t="s">
        <v>1790</v>
      </c>
      <c r="S64" s="2" t="s">
        <v>1150</v>
      </c>
      <c r="T64" s="2" t="s">
        <v>2186</v>
      </c>
      <c r="U64" s="3" t="b">
        <v>1</v>
      </c>
    </row>
    <row r="65" spans="1:21">
      <c r="A65" s="2" t="s">
        <v>2187</v>
      </c>
      <c r="B65" s="2" t="s">
        <v>2181</v>
      </c>
      <c r="C65" s="2" t="s">
        <v>2188</v>
      </c>
      <c r="D65" s="2" t="s">
        <v>139</v>
      </c>
      <c r="E65" s="2" t="s">
        <v>2183</v>
      </c>
      <c r="F65" s="2" t="s">
        <v>1327</v>
      </c>
      <c r="G65" s="2" t="s">
        <v>98</v>
      </c>
      <c r="H65" s="2" t="s">
        <v>2184</v>
      </c>
      <c r="I65" s="2" t="s">
        <v>775</v>
      </c>
      <c r="J65" s="2" t="s">
        <v>1847</v>
      </c>
      <c r="K65" s="2" t="s">
        <v>775</v>
      </c>
      <c r="L65" s="2">
        <v>2</v>
      </c>
      <c r="M65" s="2" t="s">
        <v>1279</v>
      </c>
      <c r="N65" s="2" t="s">
        <v>395</v>
      </c>
      <c r="O65" s="2" t="s">
        <v>1889</v>
      </c>
      <c r="P65" s="2">
        <v>29</v>
      </c>
      <c r="Q65" s="2">
        <v>2</v>
      </c>
      <c r="R65" s="2" t="s">
        <v>1159</v>
      </c>
      <c r="S65" s="2" t="s">
        <v>2189</v>
      </c>
      <c r="T65" s="2" t="s">
        <v>2190</v>
      </c>
      <c r="U65" s="3" t="b">
        <v>1</v>
      </c>
    </row>
    <row r="66" spans="1:21">
      <c r="A66" s="2" t="s">
        <v>2191</v>
      </c>
      <c r="B66" s="2" t="s">
        <v>2181</v>
      </c>
      <c r="C66" s="2" t="s">
        <v>2192</v>
      </c>
      <c r="D66" s="2" t="s">
        <v>139</v>
      </c>
      <c r="E66" s="2" t="s">
        <v>2183</v>
      </c>
      <c r="F66" s="2" t="s">
        <v>1327</v>
      </c>
      <c r="G66" s="2" t="s">
        <v>98</v>
      </c>
      <c r="H66" s="2" t="s">
        <v>2193</v>
      </c>
      <c r="I66" s="2" t="s">
        <v>580</v>
      </c>
      <c r="J66" s="2" t="s">
        <v>2194</v>
      </c>
      <c r="K66" s="2" t="s">
        <v>2195</v>
      </c>
      <c r="L66" s="2">
        <v>1</v>
      </c>
      <c r="M66" s="2" t="s">
        <v>397</v>
      </c>
      <c r="N66" s="2" t="s">
        <v>395</v>
      </c>
      <c r="O66" s="2" t="s">
        <v>2196</v>
      </c>
      <c r="P66" s="2">
        <v>16</v>
      </c>
      <c r="Q66" s="2">
        <v>2</v>
      </c>
      <c r="R66" s="2" t="s">
        <v>1981</v>
      </c>
      <c r="S66" s="2" t="s">
        <v>2197</v>
      </c>
      <c r="T66" s="2" t="s">
        <v>2198</v>
      </c>
      <c r="U66" s="3" t="b">
        <v>1</v>
      </c>
    </row>
    <row r="67" spans="1:21" ht="28">
      <c r="A67" s="2" t="s">
        <v>2199</v>
      </c>
      <c r="B67" s="2" t="s">
        <v>2181</v>
      </c>
      <c r="C67" s="2" t="s">
        <v>2200</v>
      </c>
      <c r="D67" s="2" t="s">
        <v>139</v>
      </c>
      <c r="E67" s="2" t="s">
        <v>2183</v>
      </c>
      <c r="F67" s="2" t="s">
        <v>1327</v>
      </c>
      <c r="G67" s="2" t="s">
        <v>98</v>
      </c>
      <c r="H67" s="2" t="s">
        <v>2193</v>
      </c>
      <c r="I67" s="2" t="s">
        <v>386</v>
      </c>
      <c r="J67" s="2" t="s">
        <v>2201</v>
      </c>
      <c r="K67" s="2" t="s">
        <v>1979</v>
      </c>
      <c r="L67" s="2">
        <v>2</v>
      </c>
      <c r="M67" s="2" t="s">
        <v>1279</v>
      </c>
      <c r="N67" s="2" t="s">
        <v>395</v>
      </c>
      <c r="O67" s="2" t="s">
        <v>2202</v>
      </c>
      <c r="P67" s="2">
        <v>16</v>
      </c>
      <c r="Q67" s="2">
        <v>2</v>
      </c>
      <c r="R67" s="2" t="s">
        <v>1981</v>
      </c>
      <c r="S67" s="2" t="s">
        <v>2203</v>
      </c>
      <c r="T67" s="2" t="s">
        <v>2204</v>
      </c>
      <c r="U67" s="3" t="b">
        <v>1</v>
      </c>
    </row>
    <row r="68" spans="1:21" ht="28">
      <c r="A68" s="2" t="s">
        <v>2205</v>
      </c>
      <c r="B68" s="2" t="s">
        <v>2181</v>
      </c>
      <c r="C68" s="2" t="s">
        <v>2206</v>
      </c>
      <c r="D68" s="2" t="s">
        <v>155</v>
      </c>
      <c r="E68" s="2" t="s">
        <v>2207</v>
      </c>
      <c r="F68" s="2" t="s">
        <v>382</v>
      </c>
      <c r="G68" s="2" t="s">
        <v>98</v>
      </c>
      <c r="H68" s="2" t="s">
        <v>2208</v>
      </c>
      <c r="I68" s="2" t="s">
        <v>386</v>
      </c>
      <c r="J68" s="2" t="s">
        <v>2209</v>
      </c>
      <c r="K68" s="2" t="s">
        <v>1838</v>
      </c>
      <c r="L68" s="2">
        <v>2</v>
      </c>
      <c r="M68" s="2" t="s">
        <v>1279</v>
      </c>
      <c r="N68" s="2" t="s">
        <v>395</v>
      </c>
      <c r="O68" s="2" t="s">
        <v>2210</v>
      </c>
      <c r="P68" s="2">
        <v>32</v>
      </c>
      <c r="Q68" s="2">
        <v>1</v>
      </c>
      <c r="R68" s="2" t="s">
        <v>1790</v>
      </c>
      <c r="S68" s="2" t="s">
        <v>2211</v>
      </c>
      <c r="T68" s="2" t="s">
        <v>2212</v>
      </c>
      <c r="U68" s="3" t="b">
        <v>1</v>
      </c>
    </row>
    <row r="69" spans="1:21">
      <c r="A69" s="2" t="s">
        <v>2213</v>
      </c>
      <c r="B69" s="2" t="s">
        <v>2181</v>
      </c>
      <c r="C69" s="2" t="s">
        <v>2214</v>
      </c>
      <c r="D69" s="2" t="s">
        <v>155</v>
      </c>
      <c r="E69" s="2" t="s">
        <v>2215</v>
      </c>
      <c r="F69" s="2" t="s">
        <v>439</v>
      </c>
      <c r="G69" s="2" t="s">
        <v>98</v>
      </c>
      <c r="H69" s="2" t="s">
        <v>2216</v>
      </c>
      <c r="I69" s="2" t="s">
        <v>443</v>
      </c>
      <c r="J69" s="2" t="s">
        <v>2217</v>
      </c>
      <c r="K69" s="2" t="s">
        <v>2195</v>
      </c>
      <c r="L69" s="2">
        <v>1</v>
      </c>
      <c r="M69" s="2" t="s">
        <v>397</v>
      </c>
      <c r="N69" s="2" t="s">
        <v>395</v>
      </c>
      <c r="O69" s="2" t="s">
        <v>2218</v>
      </c>
      <c r="P69" s="2">
        <v>16</v>
      </c>
      <c r="Q69" s="2">
        <v>1</v>
      </c>
      <c r="R69" s="2" t="s">
        <v>2219</v>
      </c>
      <c r="S69" s="2" t="s">
        <v>2220</v>
      </c>
      <c r="T69" s="2" t="s">
        <v>2221</v>
      </c>
      <c r="U69" s="3" t="b">
        <v>1</v>
      </c>
    </row>
    <row r="70" spans="1:21">
      <c r="A70" s="2" t="s">
        <v>2222</v>
      </c>
      <c r="B70" s="2" t="s">
        <v>2181</v>
      </c>
      <c r="C70" s="2" t="s">
        <v>2223</v>
      </c>
      <c r="D70" s="2" t="s">
        <v>155</v>
      </c>
      <c r="E70" s="2" t="s">
        <v>2215</v>
      </c>
      <c r="F70" s="2" t="s">
        <v>439</v>
      </c>
      <c r="G70" s="2" t="s">
        <v>98</v>
      </c>
      <c r="H70" s="2" t="s">
        <v>2216</v>
      </c>
      <c r="I70" s="2" t="s">
        <v>386</v>
      </c>
      <c r="J70" s="2" t="s">
        <v>2224</v>
      </c>
      <c r="K70" s="2" t="s">
        <v>2195</v>
      </c>
      <c r="L70" s="2">
        <v>1</v>
      </c>
      <c r="M70" s="2" t="s">
        <v>397</v>
      </c>
      <c r="N70" s="2" t="s">
        <v>395</v>
      </c>
      <c r="O70" s="2" t="s">
        <v>2225</v>
      </c>
      <c r="P70" s="2">
        <v>16</v>
      </c>
      <c r="Q70" s="2">
        <v>1</v>
      </c>
      <c r="R70" s="2" t="s">
        <v>1790</v>
      </c>
      <c r="S70" s="2" t="s">
        <v>2226</v>
      </c>
      <c r="T70" s="2" t="s">
        <v>2227</v>
      </c>
      <c r="U70" s="3" t="b">
        <v>1</v>
      </c>
    </row>
    <row r="71" spans="1:21">
      <c r="A71" s="2" t="s">
        <v>2228</v>
      </c>
      <c r="B71" s="2" t="s">
        <v>2229</v>
      </c>
      <c r="C71" s="2" t="s">
        <v>2230</v>
      </c>
      <c r="D71" s="2" t="s">
        <v>241</v>
      </c>
      <c r="E71" s="2" t="s">
        <v>2231</v>
      </c>
      <c r="F71" s="2" t="s">
        <v>725</v>
      </c>
      <c r="G71" s="2" t="s">
        <v>247</v>
      </c>
      <c r="H71" s="2" t="s">
        <v>2232</v>
      </c>
      <c r="I71" s="2" t="s">
        <v>580</v>
      </c>
      <c r="J71" s="2" t="s">
        <v>2233</v>
      </c>
      <c r="K71" s="2" t="s">
        <v>1994</v>
      </c>
      <c r="L71" s="2">
        <v>1</v>
      </c>
      <c r="M71" s="2" t="s">
        <v>397</v>
      </c>
      <c r="N71" s="2" t="s">
        <v>395</v>
      </c>
      <c r="O71" s="2" t="s">
        <v>1816</v>
      </c>
      <c r="P71" s="2">
        <v>28</v>
      </c>
      <c r="Q71" s="2">
        <v>2</v>
      </c>
      <c r="R71" s="2" t="s">
        <v>2234</v>
      </c>
      <c r="S71" s="2" t="s">
        <v>2235</v>
      </c>
      <c r="T71" s="2" t="s">
        <v>2236</v>
      </c>
      <c r="U71" s="3" t="b">
        <v>0</v>
      </c>
    </row>
    <row r="72" spans="1:21" ht="28">
      <c r="A72" s="2" t="s">
        <v>2237</v>
      </c>
      <c r="B72" s="2" t="s">
        <v>2229</v>
      </c>
      <c r="C72" s="2" t="s">
        <v>2230</v>
      </c>
      <c r="D72" s="2" t="s">
        <v>227</v>
      </c>
      <c r="E72" s="2" t="s">
        <v>2238</v>
      </c>
      <c r="F72" s="2" t="s">
        <v>1118</v>
      </c>
      <c r="G72" s="2" t="s">
        <v>232</v>
      </c>
      <c r="H72" s="2" t="s">
        <v>2239</v>
      </c>
      <c r="I72" s="2" t="s">
        <v>580</v>
      </c>
      <c r="J72" s="2" t="s">
        <v>2240</v>
      </c>
      <c r="K72" s="2" t="s">
        <v>1994</v>
      </c>
      <c r="L72" s="2">
        <v>2</v>
      </c>
      <c r="M72" s="2" t="s">
        <v>1279</v>
      </c>
      <c r="N72" s="2" t="s">
        <v>749</v>
      </c>
      <c r="O72" s="2"/>
      <c r="P72" s="2">
        <v>21</v>
      </c>
      <c r="Q72" s="2">
        <v>2</v>
      </c>
      <c r="R72" s="2" t="s">
        <v>2241</v>
      </c>
      <c r="S72" s="2" t="s">
        <v>2242</v>
      </c>
      <c r="T72" s="2" t="s">
        <v>2243</v>
      </c>
      <c r="U72" s="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1"/>
  <sheetViews>
    <sheetView workbookViewId="0">
      <selection activeCell="K1" sqref="K1:K1048576"/>
    </sheetView>
  </sheetViews>
  <sheetFormatPr defaultRowHeight="14"/>
  <cols>
    <col min="1" max="1" width="30" customWidth="1"/>
    <col min="2" max="2" width="25" customWidth="1"/>
    <col min="3" max="3" width="24" customWidth="1"/>
    <col min="4" max="4" width="30" customWidth="1"/>
    <col min="5" max="5" width="32" customWidth="1"/>
    <col min="6" max="6" width="14" customWidth="1"/>
    <col min="7" max="7" width="22" customWidth="1"/>
    <col min="8" max="8" width="15" customWidth="1"/>
    <col min="9" max="9" width="14" customWidth="1"/>
    <col min="10" max="10" width="65" customWidth="1"/>
  </cols>
  <sheetData>
    <row r="1" spans="1:10">
      <c r="A1" s="1" t="s">
        <v>1772</v>
      </c>
      <c r="B1" s="1" t="s">
        <v>2244</v>
      </c>
      <c r="C1" s="1" t="s">
        <v>66</v>
      </c>
      <c r="D1" s="1" t="s">
        <v>355</v>
      </c>
      <c r="E1" s="1" t="s">
        <v>2245</v>
      </c>
      <c r="F1" s="1" t="s">
        <v>375</v>
      </c>
      <c r="G1" s="1" t="s">
        <v>376</v>
      </c>
      <c r="H1" s="1" t="s">
        <v>371</v>
      </c>
      <c r="I1" s="1" t="s">
        <v>2246</v>
      </c>
      <c r="J1" s="1" t="s">
        <v>1780</v>
      </c>
    </row>
    <row r="2" spans="1:10">
      <c r="A2" s="2" t="s">
        <v>2247</v>
      </c>
      <c r="B2" s="2" t="s">
        <v>2248</v>
      </c>
      <c r="C2" s="2" t="s">
        <v>110</v>
      </c>
      <c r="D2" s="2" t="s">
        <v>260</v>
      </c>
      <c r="E2" s="2" t="s">
        <v>443</v>
      </c>
      <c r="F2" s="2">
        <v>-1</v>
      </c>
      <c r="G2" s="2" t="s">
        <v>407</v>
      </c>
      <c r="H2" s="2" t="s">
        <v>107</v>
      </c>
      <c r="I2" s="2" t="s">
        <v>2249</v>
      </c>
      <c r="J2" s="2" t="s">
        <v>2250</v>
      </c>
    </row>
    <row r="3" spans="1:10">
      <c r="A3" s="2" t="s">
        <v>2247</v>
      </c>
      <c r="B3" s="2" t="s">
        <v>2248</v>
      </c>
      <c r="C3" s="2" t="s">
        <v>110</v>
      </c>
      <c r="D3" s="2" t="s">
        <v>260</v>
      </c>
      <c r="E3" s="2" t="s">
        <v>1822</v>
      </c>
      <c r="F3" s="2">
        <v>-1</v>
      </c>
      <c r="G3" s="2" t="s">
        <v>407</v>
      </c>
      <c r="H3" s="2" t="s">
        <v>107</v>
      </c>
      <c r="I3" s="2" t="s">
        <v>2249</v>
      </c>
      <c r="J3" s="2" t="s">
        <v>2250</v>
      </c>
    </row>
    <row r="4" spans="1:10">
      <c r="A4" s="2" t="s">
        <v>2247</v>
      </c>
      <c r="B4" s="2" t="s">
        <v>2248</v>
      </c>
      <c r="C4" s="2" t="s">
        <v>110</v>
      </c>
      <c r="D4" s="2" t="s">
        <v>260</v>
      </c>
      <c r="E4" s="2" t="s">
        <v>775</v>
      </c>
      <c r="F4" s="2">
        <v>2</v>
      </c>
      <c r="G4" s="2" t="s">
        <v>1279</v>
      </c>
      <c r="H4" s="2" t="s">
        <v>395</v>
      </c>
      <c r="I4" s="2" t="s">
        <v>2251</v>
      </c>
      <c r="J4" s="2" t="s">
        <v>2252</v>
      </c>
    </row>
    <row r="5" spans="1:10">
      <c r="A5" s="2" t="s">
        <v>2247</v>
      </c>
      <c r="B5" s="2" t="s">
        <v>2248</v>
      </c>
      <c r="C5" s="2" t="s">
        <v>110</v>
      </c>
      <c r="D5" s="2" t="s">
        <v>260</v>
      </c>
      <c r="E5" s="2" t="s">
        <v>1809</v>
      </c>
      <c r="F5" s="2">
        <v>-1</v>
      </c>
      <c r="G5" s="2" t="s">
        <v>407</v>
      </c>
      <c r="H5" s="2" t="s">
        <v>395</v>
      </c>
      <c r="I5" s="2" t="s">
        <v>2253</v>
      </c>
      <c r="J5" s="2" t="s">
        <v>2254</v>
      </c>
    </row>
    <row r="6" spans="1:10">
      <c r="A6" s="2" t="s">
        <v>2247</v>
      </c>
      <c r="B6" s="2" t="s">
        <v>2248</v>
      </c>
      <c r="C6" s="2" t="s">
        <v>110</v>
      </c>
      <c r="D6" s="2" t="s">
        <v>260</v>
      </c>
      <c r="E6" s="2" t="s">
        <v>1802</v>
      </c>
      <c r="F6" s="2">
        <v>1</v>
      </c>
      <c r="G6" s="2" t="s">
        <v>397</v>
      </c>
      <c r="H6" s="2" t="s">
        <v>395</v>
      </c>
      <c r="I6" s="2" t="s">
        <v>2255</v>
      </c>
      <c r="J6" s="2" t="s">
        <v>2256</v>
      </c>
    </row>
    <row r="7" spans="1:10">
      <c r="A7" s="2" t="s">
        <v>2247</v>
      </c>
      <c r="B7" s="2" t="s">
        <v>2257</v>
      </c>
      <c r="C7" s="2" t="s">
        <v>289</v>
      </c>
      <c r="D7" s="2" t="s">
        <v>260</v>
      </c>
      <c r="E7" s="2" t="s">
        <v>443</v>
      </c>
      <c r="F7" s="2">
        <v>-1</v>
      </c>
      <c r="G7" s="2" t="s">
        <v>407</v>
      </c>
      <c r="H7" s="2" t="s">
        <v>395</v>
      </c>
      <c r="I7" s="2" t="s">
        <v>2253</v>
      </c>
      <c r="J7" s="2" t="s">
        <v>2258</v>
      </c>
    </row>
    <row r="8" spans="1:10">
      <c r="A8" s="2" t="s">
        <v>2247</v>
      </c>
      <c r="B8" s="2" t="s">
        <v>2257</v>
      </c>
      <c r="C8" s="2" t="s">
        <v>289</v>
      </c>
      <c r="D8" s="2" t="s">
        <v>260</v>
      </c>
      <c r="E8" s="2" t="s">
        <v>1822</v>
      </c>
      <c r="F8" s="2">
        <v>-1</v>
      </c>
      <c r="G8" s="2" t="s">
        <v>407</v>
      </c>
      <c r="H8" s="2" t="s">
        <v>395</v>
      </c>
      <c r="I8" s="2" t="s">
        <v>2253</v>
      </c>
      <c r="J8" s="2" t="s">
        <v>2259</v>
      </c>
    </row>
    <row r="9" spans="1:10">
      <c r="A9" s="2" t="s">
        <v>2247</v>
      </c>
      <c r="B9" s="2" t="s">
        <v>2257</v>
      </c>
      <c r="C9" s="2" t="s">
        <v>289</v>
      </c>
      <c r="D9" s="2" t="s">
        <v>260</v>
      </c>
      <c r="E9" s="2" t="s">
        <v>775</v>
      </c>
      <c r="F9" s="2">
        <v>2</v>
      </c>
      <c r="G9" s="2" t="s">
        <v>1279</v>
      </c>
      <c r="H9" s="2" t="s">
        <v>1826</v>
      </c>
      <c r="I9" s="2" t="s">
        <v>2251</v>
      </c>
      <c r="J9" s="2" t="s">
        <v>2260</v>
      </c>
    </row>
    <row r="10" spans="1:10">
      <c r="A10" s="2" t="s">
        <v>2247</v>
      </c>
      <c r="B10" s="2" t="s">
        <v>2257</v>
      </c>
      <c r="C10" s="2" t="s">
        <v>289</v>
      </c>
      <c r="D10" s="2" t="s">
        <v>260</v>
      </c>
      <c r="E10" s="2" t="s">
        <v>1809</v>
      </c>
      <c r="F10" s="2">
        <v>-1</v>
      </c>
      <c r="G10" s="2" t="s">
        <v>407</v>
      </c>
      <c r="H10" s="2" t="s">
        <v>395</v>
      </c>
      <c r="I10" s="2" t="s">
        <v>2253</v>
      </c>
      <c r="J10" s="2" t="s">
        <v>2261</v>
      </c>
    </row>
    <row r="11" spans="1:10">
      <c r="A11" s="2" t="s">
        <v>2247</v>
      </c>
      <c r="B11" s="2" t="s">
        <v>2257</v>
      </c>
      <c r="C11" s="2" t="s">
        <v>289</v>
      </c>
      <c r="D11" s="2" t="s">
        <v>260</v>
      </c>
      <c r="E11" s="2" t="s">
        <v>1838</v>
      </c>
      <c r="F11" s="2">
        <v>1</v>
      </c>
      <c r="G11" s="2" t="s">
        <v>397</v>
      </c>
      <c r="H11" s="2" t="s">
        <v>395</v>
      </c>
      <c r="I11" s="2" t="s">
        <v>2255</v>
      </c>
      <c r="J11" s="2" t="s">
        <v>2262</v>
      </c>
    </row>
    <row r="12" spans="1:10">
      <c r="A12" s="2" t="s">
        <v>2247</v>
      </c>
      <c r="B12" s="2" t="s">
        <v>2263</v>
      </c>
      <c r="C12" s="2" t="s">
        <v>256</v>
      </c>
      <c r="D12" s="2" t="s">
        <v>260</v>
      </c>
      <c r="E12" s="2" t="s">
        <v>443</v>
      </c>
      <c r="F12" s="2">
        <v>0</v>
      </c>
      <c r="G12" s="2" t="s">
        <v>715</v>
      </c>
      <c r="H12" s="2" t="s">
        <v>107</v>
      </c>
      <c r="I12" s="2" t="s">
        <v>2264</v>
      </c>
      <c r="J12" s="2" t="s">
        <v>2265</v>
      </c>
    </row>
    <row r="13" spans="1:10">
      <c r="A13" s="2" t="s">
        <v>2247</v>
      </c>
      <c r="B13" s="2" t="s">
        <v>2263</v>
      </c>
      <c r="C13" s="2" t="s">
        <v>256</v>
      </c>
      <c r="D13" s="2" t="s">
        <v>260</v>
      </c>
      <c r="E13" s="2" t="s">
        <v>1822</v>
      </c>
      <c r="F13" s="2">
        <v>0</v>
      </c>
      <c r="G13" s="2" t="s">
        <v>715</v>
      </c>
      <c r="H13" s="2" t="s">
        <v>107</v>
      </c>
      <c r="I13" s="2" t="s">
        <v>2264</v>
      </c>
      <c r="J13" s="2" t="s">
        <v>2266</v>
      </c>
    </row>
    <row r="14" spans="1:10">
      <c r="A14" s="2" t="s">
        <v>2247</v>
      </c>
      <c r="B14" s="2" t="s">
        <v>2263</v>
      </c>
      <c r="C14" s="2" t="s">
        <v>256</v>
      </c>
      <c r="D14" s="2" t="s">
        <v>260</v>
      </c>
      <c r="E14" s="2" t="s">
        <v>775</v>
      </c>
      <c r="F14" s="2">
        <v>2</v>
      </c>
      <c r="G14" s="2" t="s">
        <v>1279</v>
      </c>
      <c r="H14" s="2" t="s">
        <v>395</v>
      </c>
      <c r="I14" s="2" t="s">
        <v>2251</v>
      </c>
      <c r="J14" s="2" t="s">
        <v>2267</v>
      </c>
    </row>
    <row r="15" spans="1:10">
      <c r="A15" s="2" t="s">
        <v>2247</v>
      </c>
      <c r="B15" s="2" t="s">
        <v>2263</v>
      </c>
      <c r="C15" s="2" t="s">
        <v>256</v>
      </c>
      <c r="D15" s="2" t="s">
        <v>260</v>
      </c>
      <c r="E15" s="2" t="s">
        <v>1809</v>
      </c>
      <c r="F15" s="2">
        <v>-1</v>
      </c>
      <c r="G15" s="2" t="s">
        <v>407</v>
      </c>
      <c r="H15" s="2" t="s">
        <v>395</v>
      </c>
      <c r="I15" s="2" t="s">
        <v>2253</v>
      </c>
      <c r="J15" s="2" t="s">
        <v>2268</v>
      </c>
    </row>
    <row r="16" spans="1:10">
      <c r="A16" s="2" t="s">
        <v>2247</v>
      </c>
      <c r="B16" s="2" t="s">
        <v>2263</v>
      </c>
      <c r="C16" s="2" t="s">
        <v>256</v>
      </c>
      <c r="D16" s="2" t="s">
        <v>260</v>
      </c>
      <c r="E16" s="2" t="s">
        <v>1802</v>
      </c>
      <c r="F16" s="2">
        <v>1</v>
      </c>
      <c r="G16" s="2" t="s">
        <v>397</v>
      </c>
      <c r="H16" s="2" t="s">
        <v>395</v>
      </c>
      <c r="I16" s="2" t="s">
        <v>2255</v>
      </c>
      <c r="J16" s="2" t="s">
        <v>1858</v>
      </c>
    </row>
    <row r="17" spans="1:10">
      <c r="A17" s="2" t="s">
        <v>2247</v>
      </c>
      <c r="B17" s="2" t="s">
        <v>2263</v>
      </c>
      <c r="C17" s="2" t="s">
        <v>256</v>
      </c>
      <c r="D17" s="2" t="s">
        <v>260</v>
      </c>
      <c r="E17" s="2" t="s">
        <v>1190</v>
      </c>
      <c r="F17" s="2">
        <v>1</v>
      </c>
      <c r="G17" s="2" t="s">
        <v>397</v>
      </c>
      <c r="H17" s="2" t="s">
        <v>749</v>
      </c>
      <c r="I17" s="2" t="s">
        <v>2269</v>
      </c>
      <c r="J17" s="2" t="s">
        <v>2270</v>
      </c>
    </row>
    <row r="18" spans="1:10">
      <c r="A18" s="2" t="s">
        <v>2247</v>
      </c>
      <c r="B18" s="2" t="s">
        <v>2271</v>
      </c>
      <c r="C18" s="2" t="s">
        <v>277</v>
      </c>
      <c r="D18" s="2" t="s">
        <v>260</v>
      </c>
      <c r="E18" s="2" t="s">
        <v>443</v>
      </c>
      <c r="F18" s="2">
        <v>-1</v>
      </c>
      <c r="G18" s="2" t="s">
        <v>407</v>
      </c>
      <c r="H18" s="2" t="s">
        <v>395</v>
      </c>
      <c r="I18" s="2" t="s">
        <v>2253</v>
      </c>
      <c r="J18" s="2" t="s">
        <v>2258</v>
      </c>
    </row>
    <row r="19" spans="1:10">
      <c r="A19" s="2" t="s">
        <v>2247</v>
      </c>
      <c r="B19" s="2" t="s">
        <v>2271</v>
      </c>
      <c r="C19" s="2" t="s">
        <v>277</v>
      </c>
      <c r="D19" s="2" t="s">
        <v>260</v>
      </c>
      <c r="E19" s="2" t="s">
        <v>1822</v>
      </c>
      <c r="F19" s="2">
        <v>-1</v>
      </c>
      <c r="G19" s="2" t="s">
        <v>407</v>
      </c>
      <c r="H19" s="2" t="s">
        <v>395</v>
      </c>
      <c r="I19" s="2" t="s">
        <v>2253</v>
      </c>
      <c r="J19" s="2" t="s">
        <v>2272</v>
      </c>
    </row>
    <row r="20" spans="1:10">
      <c r="A20" s="2" t="s">
        <v>2247</v>
      </c>
      <c r="B20" s="2" t="s">
        <v>2271</v>
      </c>
      <c r="C20" s="2" t="s">
        <v>277</v>
      </c>
      <c r="D20" s="2" t="s">
        <v>260</v>
      </c>
      <c r="E20" s="2" t="s">
        <v>1809</v>
      </c>
      <c r="F20" s="2">
        <v>-1</v>
      </c>
      <c r="G20" s="2" t="s">
        <v>407</v>
      </c>
      <c r="H20" s="2" t="s">
        <v>395</v>
      </c>
      <c r="I20" s="2" t="s">
        <v>2253</v>
      </c>
      <c r="J20" s="2" t="s">
        <v>2273</v>
      </c>
    </row>
    <row r="21" spans="1:10">
      <c r="A21" s="2" t="s">
        <v>2247</v>
      </c>
      <c r="B21" s="2" t="s">
        <v>2274</v>
      </c>
      <c r="C21" s="2" t="s">
        <v>299</v>
      </c>
      <c r="D21" s="2" t="s">
        <v>260</v>
      </c>
      <c r="E21" s="2" t="s">
        <v>443</v>
      </c>
      <c r="F21" s="2">
        <v>0</v>
      </c>
      <c r="G21" s="2" t="s">
        <v>715</v>
      </c>
      <c r="H21" s="2" t="s">
        <v>107</v>
      </c>
      <c r="I21" s="2" t="s">
        <v>2264</v>
      </c>
      <c r="J21" s="2" t="s">
        <v>2265</v>
      </c>
    </row>
    <row r="22" spans="1:10">
      <c r="A22" s="2" t="s">
        <v>2247</v>
      </c>
      <c r="B22" s="2" t="s">
        <v>2274</v>
      </c>
      <c r="C22" s="2" t="s">
        <v>299</v>
      </c>
      <c r="D22" s="2" t="s">
        <v>260</v>
      </c>
      <c r="E22" s="2" t="s">
        <v>775</v>
      </c>
      <c r="F22" s="2">
        <v>2</v>
      </c>
      <c r="G22" s="2" t="s">
        <v>1279</v>
      </c>
      <c r="H22" s="2" t="s">
        <v>395</v>
      </c>
      <c r="I22" s="2" t="s">
        <v>2251</v>
      </c>
      <c r="J22" s="2" t="s">
        <v>2275</v>
      </c>
    </row>
    <row r="23" spans="1:10">
      <c r="A23" s="2" t="s">
        <v>2247</v>
      </c>
      <c r="B23" s="2" t="s">
        <v>2274</v>
      </c>
      <c r="C23" s="2" t="s">
        <v>299</v>
      </c>
      <c r="D23" s="2" t="s">
        <v>260</v>
      </c>
      <c r="E23" s="2" t="s">
        <v>1809</v>
      </c>
      <c r="F23" s="2">
        <v>-1</v>
      </c>
      <c r="G23" s="2" t="s">
        <v>407</v>
      </c>
      <c r="H23" s="2" t="s">
        <v>395</v>
      </c>
      <c r="I23" s="2" t="s">
        <v>2253</v>
      </c>
      <c r="J23" s="2" t="s">
        <v>2276</v>
      </c>
    </row>
    <row r="24" spans="1:10">
      <c r="A24" s="2" t="s">
        <v>2247</v>
      </c>
      <c r="B24" s="2" t="s">
        <v>2274</v>
      </c>
      <c r="C24" s="2" t="s">
        <v>299</v>
      </c>
      <c r="D24" s="2" t="s">
        <v>260</v>
      </c>
      <c r="E24" s="2" t="s">
        <v>1838</v>
      </c>
      <c r="F24" s="2">
        <v>1</v>
      </c>
      <c r="G24" s="2" t="s">
        <v>397</v>
      </c>
      <c r="H24" s="2" t="s">
        <v>395</v>
      </c>
      <c r="I24" s="2" t="s">
        <v>2255</v>
      </c>
      <c r="J24" s="2" t="s">
        <v>2277</v>
      </c>
    </row>
    <row r="25" spans="1:10">
      <c r="A25" s="2" t="s">
        <v>2247</v>
      </c>
      <c r="B25" s="2" t="s">
        <v>2274</v>
      </c>
      <c r="C25" s="2" t="s">
        <v>299</v>
      </c>
      <c r="D25" s="2" t="s">
        <v>260</v>
      </c>
      <c r="E25" s="2" t="s">
        <v>1904</v>
      </c>
      <c r="F25" s="2">
        <v>2</v>
      </c>
      <c r="G25" s="2" t="s">
        <v>1279</v>
      </c>
      <c r="H25" s="2" t="s">
        <v>395</v>
      </c>
      <c r="I25" s="2" t="s">
        <v>2278</v>
      </c>
      <c r="J25" s="2" t="s">
        <v>2279</v>
      </c>
    </row>
    <row r="26" spans="1:10">
      <c r="A26" s="2" t="s">
        <v>2247</v>
      </c>
      <c r="B26" s="2" t="s">
        <v>2274</v>
      </c>
      <c r="C26" s="2" t="s">
        <v>299</v>
      </c>
      <c r="D26" s="2" t="s">
        <v>260</v>
      </c>
      <c r="E26" s="2" t="s">
        <v>1914</v>
      </c>
      <c r="F26" s="2">
        <v>0</v>
      </c>
      <c r="G26" s="2" t="s">
        <v>715</v>
      </c>
      <c r="H26" s="2" t="s">
        <v>107</v>
      </c>
      <c r="I26" s="2" t="s">
        <v>2264</v>
      </c>
      <c r="J26" s="2" t="s">
        <v>2280</v>
      </c>
    </row>
    <row r="27" spans="1:10">
      <c r="A27" s="2" t="s">
        <v>2281</v>
      </c>
      <c r="B27" s="2" t="s">
        <v>2248</v>
      </c>
      <c r="C27" s="2" t="s">
        <v>110</v>
      </c>
      <c r="D27" s="2" t="s">
        <v>789</v>
      </c>
      <c r="E27" s="2" t="s">
        <v>443</v>
      </c>
      <c r="F27" s="2">
        <v>-1</v>
      </c>
      <c r="G27" s="2" t="s">
        <v>407</v>
      </c>
      <c r="H27" s="2" t="s">
        <v>395</v>
      </c>
      <c r="I27" s="2" t="s">
        <v>2253</v>
      </c>
      <c r="J27" s="2" t="s">
        <v>2282</v>
      </c>
    </row>
    <row r="28" spans="1:10">
      <c r="A28" s="2" t="s">
        <v>2281</v>
      </c>
      <c r="B28" s="2" t="s">
        <v>2248</v>
      </c>
      <c r="C28" s="2" t="s">
        <v>110</v>
      </c>
      <c r="D28" s="2" t="s">
        <v>795</v>
      </c>
      <c r="E28" s="2" t="s">
        <v>1948</v>
      </c>
      <c r="F28" s="2">
        <v>0</v>
      </c>
      <c r="G28" s="2" t="s">
        <v>715</v>
      </c>
      <c r="H28" s="2" t="s">
        <v>107</v>
      </c>
      <c r="I28" s="2" t="s">
        <v>2283</v>
      </c>
      <c r="J28" s="2" t="s">
        <v>2284</v>
      </c>
    </row>
    <row r="29" spans="1:10">
      <c r="A29" s="2" t="s">
        <v>2281</v>
      </c>
      <c r="B29" s="2" t="s">
        <v>2248</v>
      </c>
      <c r="C29" s="2" t="s">
        <v>110</v>
      </c>
      <c r="D29" s="2" t="s">
        <v>1935</v>
      </c>
      <c r="E29" s="2" t="s">
        <v>775</v>
      </c>
      <c r="F29" s="2">
        <v>2</v>
      </c>
      <c r="G29" s="2" t="s">
        <v>1279</v>
      </c>
      <c r="H29" s="2" t="s">
        <v>395</v>
      </c>
      <c r="I29" s="2" t="s">
        <v>2278</v>
      </c>
      <c r="J29" s="2" t="s">
        <v>2285</v>
      </c>
    </row>
    <row r="30" spans="1:10">
      <c r="A30" s="2" t="s">
        <v>2281</v>
      </c>
      <c r="B30" s="2" t="s">
        <v>2286</v>
      </c>
      <c r="C30" s="2" t="s">
        <v>265</v>
      </c>
      <c r="D30" s="2" t="s">
        <v>1508</v>
      </c>
      <c r="E30" s="2" t="s">
        <v>443</v>
      </c>
      <c r="F30" s="2">
        <v>-1</v>
      </c>
      <c r="G30" s="2" t="s">
        <v>407</v>
      </c>
      <c r="H30" s="2" t="s">
        <v>395</v>
      </c>
      <c r="I30" s="2" t="s">
        <v>2253</v>
      </c>
      <c r="J30" s="2" t="s">
        <v>2287</v>
      </c>
    </row>
    <row r="31" spans="1:10">
      <c r="A31" s="2" t="s">
        <v>2281</v>
      </c>
      <c r="B31" s="2" t="s">
        <v>2286</v>
      </c>
      <c r="C31" s="2" t="s">
        <v>265</v>
      </c>
      <c r="D31" s="2" t="s">
        <v>1508</v>
      </c>
      <c r="E31" s="2" t="s">
        <v>1948</v>
      </c>
      <c r="F31" s="2">
        <v>1</v>
      </c>
      <c r="G31" s="2" t="s">
        <v>397</v>
      </c>
      <c r="H31" s="2" t="s">
        <v>395</v>
      </c>
      <c r="I31" s="2" t="s">
        <v>2288</v>
      </c>
      <c r="J31" s="2" t="s">
        <v>2289</v>
      </c>
    </row>
    <row r="32" spans="1:10">
      <c r="A32" s="2" t="s">
        <v>2281</v>
      </c>
      <c r="B32" s="2" t="s">
        <v>2286</v>
      </c>
      <c r="C32" s="2" t="s">
        <v>265</v>
      </c>
      <c r="D32" s="2" t="s">
        <v>1508</v>
      </c>
      <c r="E32" s="2" t="s">
        <v>1979</v>
      </c>
      <c r="F32" s="2">
        <v>-1</v>
      </c>
      <c r="G32" s="2" t="s">
        <v>407</v>
      </c>
      <c r="H32" s="2" t="s">
        <v>395</v>
      </c>
      <c r="I32" s="2" t="s">
        <v>2290</v>
      </c>
      <c r="J32" s="2" t="s">
        <v>2291</v>
      </c>
    </row>
    <row r="33" spans="1:10">
      <c r="A33" s="2" t="s">
        <v>2281</v>
      </c>
      <c r="B33" s="2" t="s">
        <v>2286</v>
      </c>
      <c r="C33" s="2" t="s">
        <v>265</v>
      </c>
      <c r="D33" s="2" t="s">
        <v>1508</v>
      </c>
      <c r="E33" s="2" t="s">
        <v>1838</v>
      </c>
      <c r="F33" s="2">
        <v>1</v>
      </c>
      <c r="G33" s="2" t="s">
        <v>397</v>
      </c>
      <c r="H33" s="2" t="s">
        <v>395</v>
      </c>
      <c r="I33" s="2" t="s">
        <v>2255</v>
      </c>
      <c r="J33" s="2" t="s">
        <v>2292</v>
      </c>
    </row>
    <row r="34" spans="1:10">
      <c r="A34" s="2" t="s">
        <v>2281</v>
      </c>
      <c r="B34" s="2" t="s">
        <v>2271</v>
      </c>
      <c r="C34" s="2" t="s">
        <v>277</v>
      </c>
      <c r="D34" s="2" t="s">
        <v>789</v>
      </c>
      <c r="E34" s="2" t="s">
        <v>443</v>
      </c>
      <c r="F34" s="2">
        <v>-1</v>
      </c>
      <c r="G34" s="2" t="s">
        <v>407</v>
      </c>
      <c r="H34" s="2" t="s">
        <v>395</v>
      </c>
      <c r="I34" s="2" t="s">
        <v>2253</v>
      </c>
      <c r="J34" s="2" t="s">
        <v>2004</v>
      </c>
    </row>
    <row r="35" spans="1:10">
      <c r="A35" s="2" t="s">
        <v>2281</v>
      </c>
      <c r="B35" s="2" t="s">
        <v>2271</v>
      </c>
      <c r="C35" s="2" t="s">
        <v>277</v>
      </c>
      <c r="D35" s="2" t="s">
        <v>789</v>
      </c>
      <c r="E35" s="2" t="s">
        <v>1822</v>
      </c>
      <c r="F35" s="2">
        <v>-1</v>
      </c>
      <c r="G35" s="2" t="s">
        <v>407</v>
      </c>
      <c r="H35" s="2" t="s">
        <v>395</v>
      </c>
      <c r="I35" s="2" t="s">
        <v>2253</v>
      </c>
      <c r="J35" s="2" t="s">
        <v>2293</v>
      </c>
    </row>
    <row r="36" spans="1:10">
      <c r="A36" s="2" t="s">
        <v>2281</v>
      </c>
      <c r="B36" s="2" t="s">
        <v>2271</v>
      </c>
      <c r="C36" s="2" t="s">
        <v>277</v>
      </c>
      <c r="D36" s="2" t="s">
        <v>789</v>
      </c>
      <c r="E36" s="2" t="s">
        <v>1809</v>
      </c>
      <c r="F36" s="2">
        <v>-1</v>
      </c>
      <c r="G36" s="2" t="s">
        <v>407</v>
      </c>
      <c r="H36" s="2" t="s">
        <v>395</v>
      </c>
      <c r="I36" s="2" t="s">
        <v>2253</v>
      </c>
      <c r="J36" s="2" t="s">
        <v>2294</v>
      </c>
    </row>
    <row r="37" spans="1:10">
      <c r="A37" s="2" t="s">
        <v>2281</v>
      </c>
      <c r="B37" s="2" t="s">
        <v>2271</v>
      </c>
      <c r="C37" s="2" t="s">
        <v>277</v>
      </c>
      <c r="D37" s="2" t="s">
        <v>789</v>
      </c>
      <c r="E37" s="2" t="s">
        <v>1838</v>
      </c>
      <c r="F37" s="2">
        <v>1</v>
      </c>
      <c r="G37" s="2" t="s">
        <v>397</v>
      </c>
      <c r="H37" s="2" t="s">
        <v>395</v>
      </c>
      <c r="I37" s="2" t="s">
        <v>2255</v>
      </c>
      <c r="J37" s="2" t="s">
        <v>2295</v>
      </c>
    </row>
    <row r="38" spans="1:10">
      <c r="A38" s="2" t="s">
        <v>2281</v>
      </c>
      <c r="B38" s="2" t="s">
        <v>2257</v>
      </c>
      <c r="C38" s="2" t="s">
        <v>289</v>
      </c>
      <c r="D38" s="2" t="s">
        <v>1638</v>
      </c>
      <c r="E38" s="2" t="s">
        <v>1948</v>
      </c>
      <c r="F38" s="2">
        <v>0</v>
      </c>
      <c r="G38" s="2" t="s">
        <v>715</v>
      </c>
      <c r="H38" s="2" t="s">
        <v>107</v>
      </c>
      <c r="I38" s="2" t="s">
        <v>2264</v>
      </c>
      <c r="J38" s="2" t="s">
        <v>2296</v>
      </c>
    </row>
    <row r="39" spans="1:10">
      <c r="A39" s="2" t="s">
        <v>2281</v>
      </c>
      <c r="B39" s="2" t="s">
        <v>2297</v>
      </c>
      <c r="C39" s="2" t="s">
        <v>216</v>
      </c>
      <c r="D39" s="2" t="s">
        <v>221</v>
      </c>
      <c r="E39" s="2" t="s">
        <v>443</v>
      </c>
      <c r="F39" s="2">
        <v>2</v>
      </c>
      <c r="G39" s="2" t="s">
        <v>1279</v>
      </c>
      <c r="H39" s="2" t="s">
        <v>395</v>
      </c>
      <c r="I39" s="2" t="s">
        <v>2298</v>
      </c>
      <c r="J39" s="2" t="s">
        <v>2299</v>
      </c>
    </row>
    <row r="40" spans="1:10">
      <c r="A40" s="2" t="s">
        <v>2281</v>
      </c>
      <c r="B40" s="2" t="s">
        <v>2297</v>
      </c>
      <c r="C40" s="2" t="s">
        <v>216</v>
      </c>
      <c r="D40" s="2" t="s">
        <v>221</v>
      </c>
      <c r="E40" s="2" t="s">
        <v>775</v>
      </c>
      <c r="F40" s="2">
        <v>2</v>
      </c>
      <c r="G40" s="2" t="s">
        <v>1279</v>
      </c>
      <c r="H40" s="2" t="s">
        <v>395</v>
      </c>
      <c r="I40" s="2" t="s">
        <v>2278</v>
      </c>
      <c r="J40" s="2" t="s">
        <v>2300</v>
      </c>
    </row>
    <row r="41" spans="1:10">
      <c r="A41" s="2" t="s">
        <v>2281</v>
      </c>
      <c r="B41" s="2" t="s">
        <v>2297</v>
      </c>
      <c r="C41" s="2" t="s">
        <v>216</v>
      </c>
      <c r="D41" s="2" t="s">
        <v>221</v>
      </c>
      <c r="E41" s="2" t="s">
        <v>1838</v>
      </c>
      <c r="F41" s="2">
        <v>1</v>
      </c>
      <c r="G41" s="2" t="s">
        <v>397</v>
      </c>
      <c r="H41" s="2" t="s">
        <v>395</v>
      </c>
      <c r="I41" s="2" t="s">
        <v>2301</v>
      </c>
      <c r="J41" s="2" t="s">
        <v>2302</v>
      </c>
    </row>
    <row r="42" spans="1:10">
      <c r="A42" s="2" t="s">
        <v>2281</v>
      </c>
      <c r="B42" s="2" t="s">
        <v>2297</v>
      </c>
      <c r="C42" s="2" t="s">
        <v>216</v>
      </c>
      <c r="D42" s="2" t="s">
        <v>221</v>
      </c>
      <c r="E42" s="2" t="s">
        <v>1904</v>
      </c>
      <c r="F42" s="2">
        <v>2</v>
      </c>
      <c r="G42" s="2" t="s">
        <v>1279</v>
      </c>
      <c r="H42" s="2" t="s">
        <v>395</v>
      </c>
      <c r="I42" s="2" t="s">
        <v>2278</v>
      </c>
      <c r="J42" s="2" t="s">
        <v>2303</v>
      </c>
    </row>
    <row r="43" spans="1:10">
      <c r="A43" s="2" t="s">
        <v>2281</v>
      </c>
      <c r="B43" s="2" t="s">
        <v>2304</v>
      </c>
      <c r="C43" s="2" t="s">
        <v>193</v>
      </c>
      <c r="D43" s="2" t="s">
        <v>889</v>
      </c>
      <c r="E43" s="2" t="s">
        <v>1914</v>
      </c>
      <c r="F43" s="2">
        <v>2</v>
      </c>
      <c r="G43" s="2" t="s">
        <v>1279</v>
      </c>
      <c r="H43" s="2" t="s">
        <v>395</v>
      </c>
      <c r="I43" s="2" t="s">
        <v>2298</v>
      </c>
      <c r="J43" s="2" t="s">
        <v>2305</v>
      </c>
    </row>
    <row r="44" spans="1:10">
      <c r="A44" s="2" t="s">
        <v>2281</v>
      </c>
      <c r="B44" s="2" t="s">
        <v>2304</v>
      </c>
      <c r="C44" s="2" t="s">
        <v>193</v>
      </c>
      <c r="D44" s="2" t="s">
        <v>889</v>
      </c>
      <c r="E44" s="2" t="s">
        <v>1904</v>
      </c>
      <c r="F44" s="2">
        <v>2</v>
      </c>
      <c r="G44" s="2" t="s">
        <v>1279</v>
      </c>
      <c r="H44" s="2" t="s">
        <v>395</v>
      </c>
      <c r="I44" s="2" t="s">
        <v>2278</v>
      </c>
      <c r="J44" s="2" t="s">
        <v>2306</v>
      </c>
    </row>
    <row r="45" spans="1:10">
      <c r="A45" s="2" t="s">
        <v>2307</v>
      </c>
      <c r="B45" s="2" t="s">
        <v>2308</v>
      </c>
      <c r="C45" s="2" t="s">
        <v>169</v>
      </c>
      <c r="D45" s="2" t="s">
        <v>174</v>
      </c>
      <c r="E45" s="2" t="s">
        <v>443</v>
      </c>
      <c r="F45" s="2">
        <v>-1</v>
      </c>
      <c r="G45" s="2" t="s">
        <v>407</v>
      </c>
      <c r="H45" s="2" t="s">
        <v>395</v>
      </c>
      <c r="I45" s="2" t="s">
        <v>2253</v>
      </c>
      <c r="J45" s="2" t="s">
        <v>2309</v>
      </c>
    </row>
    <row r="46" spans="1:10">
      <c r="A46" s="2" t="s">
        <v>2307</v>
      </c>
      <c r="B46" s="2" t="s">
        <v>2308</v>
      </c>
      <c r="C46" s="2" t="s">
        <v>169</v>
      </c>
      <c r="D46" s="2" t="s">
        <v>174</v>
      </c>
      <c r="E46" s="2" t="s">
        <v>775</v>
      </c>
      <c r="F46" s="2">
        <v>2</v>
      </c>
      <c r="G46" s="2" t="s">
        <v>1279</v>
      </c>
      <c r="H46" s="2" t="s">
        <v>395</v>
      </c>
      <c r="I46" s="2" t="s">
        <v>2251</v>
      </c>
      <c r="J46" s="2" t="s">
        <v>2072</v>
      </c>
    </row>
    <row r="47" spans="1:10">
      <c r="A47" s="2" t="s">
        <v>2307</v>
      </c>
      <c r="B47" s="2" t="s">
        <v>2308</v>
      </c>
      <c r="C47" s="2" t="s">
        <v>169</v>
      </c>
      <c r="D47" s="2" t="s">
        <v>174</v>
      </c>
      <c r="E47" s="2" t="s">
        <v>1809</v>
      </c>
      <c r="F47" s="2">
        <v>-1</v>
      </c>
      <c r="G47" s="2" t="s">
        <v>407</v>
      </c>
      <c r="H47" s="2" t="s">
        <v>395</v>
      </c>
      <c r="I47" s="2" t="s">
        <v>2253</v>
      </c>
      <c r="J47" s="2" t="s">
        <v>2076</v>
      </c>
    </row>
    <row r="48" spans="1:10">
      <c r="A48" s="2" t="s">
        <v>2307</v>
      </c>
      <c r="B48" s="2" t="s">
        <v>2308</v>
      </c>
      <c r="C48" s="2" t="s">
        <v>169</v>
      </c>
      <c r="D48" s="2" t="s">
        <v>174</v>
      </c>
      <c r="E48" s="2" t="s">
        <v>1190</v>
      </c>
      <c r="F48" s="2">
        <v>1</v>
      </c>
      <c r="G48" s="2" t="s">
        <v>397</v>
      </c>
      <c r="H48" s="2" t="s">
        <v>749</v>
      </c>
      <c r="I48" s="2" t="s">
        <v>2310</v>
      </c>
      <c r="J48" s="2" t="s">
        <v>2311</v>
      </c>
    </row>
    <row r="49" spans="1:10">
      <c r="A49" s="2" t="s">
        <v>2307</v>
      </c>
      <c r="B49" s="2" t="s">
        <v>2312</v>
      </c>
      <c r="C49" s="2" t="s">
        <v>179</v>
      </c>
      <c r="D49" s="2" t="s">
        <v>1142</v>
      </c>
      <c r="E49" s="2" t="s">
        <v>443</v>
      </c>
      <c r="F49" s="2">
        <v>1</v>
      </c>
      <c r="G49" s="2" t="s">
        <v>397</v>
      </c>
      <c r="H49" s="2" t="s">
        <v>395</v>
      </c>
      <c r="I49" s="2" t="s">
        <v>2255</v>
      </c>
      <c r="J49" s="2" t="s">
        <v>2313</v>
      </c>
    </row>
    <row r="50" spans="1:10">
      <c r="A50" s="2" t="s">
        <v>2307</v>
      </c>
      <c r="B50" s="2" t="s">
        <v>2312</v>
      </c>
      <c r="C50" s="2" t="s">
        <v>179</v>
      </c>
      <c r="D50" s="2" t="s">
        <v>1142</v>
      </c>
      <c r="E50" s="2" t="s">
        <v>775</v>
      </c>
      <c r="F50" s="2">
        <v>2</v>
      </c>
      <c r="G50" s="2" t="s">
        <v>1279</v>
      </c>
      <c r="H50" s="2" t="s">
        <v>395</v>
      </c>
      <c r="I50" s="2" t="s">
        <v>2251</v>
      </c>
      <c r="J50" s="2" t="s">
        <v>1159</v>
      </c>
    </row>
    <row r="51" spans="1:10">
      <c r="A51" s="2" t="s">
        <v>2307</v>
      </c>
      <c r="B51" s="2" t="s">
        <v>2312</v>
      </c>
      <c r="C51" s="2" t="s">
        <v>179</v>
      </c>
      <c r="D51" s="2" t="s">
        <v>1142</v>
      </c>
      <c r="E51" s="2" t="s">
        <v>1838</v>
      </c>
      <c r="F51" s="2">
        <v>1</v>
      </c>
      <c r="G51" s="2" t="s">
        <v>397</v>
      </c>
      <c r="H51" s="2" t="s">
        <v>395</v>
      </c>
      <c r="I51" s="2" t="s">
        <v>2255</v>
      </c>
      <c r="J51" s="2" t="s">
        <v>2314</v>
      </c>
    </row>
    <row r="52" spans="1:10">
      <c r="A52" s="2" t="s">
        <v>2307</v>
      </c>
      <c r="B52" s="2" t="s">
        <v>2312</v>
      </c>
      <c r="C52" s="2" t="s">
        <v>179</v>
      </c>
      <c r="D52" s="2" t="s">
        <v>1142</v>
      </c>
      <c r="E52" s="2" t="s">
        <v>1190</v>
      </c>
      <c r="F52" s="2">
        <v>1</v>
      </c>
      <c r="G52" s="2" t="s">
        <v>397</v>
      </c>
      <c r="H52" s="2" t="s">
        <v>749</v>
      </c>
      <c r="I52" s="2" t="s">
        <v>2269</v>
      </c>
      <c r="J52" s="2" t="s">
        <v>2315</v>
      </c>
    </row>
    <row r="53" spans="1:10">
      <c r="A53" s="2" t="s">
        <v>2307</v>
      </c>
      <c r="B53" s="2" t="s">
        <v>2316</v>
      </c>
      <c r="C53" s="2" t="s">
        <v>204</v>
      </c>
      <c r="D53" s="2" t="s">
        <v>1197</v>
      </c>
      <c r="E53" s="2" t="s">
        <v>1201</v>
      </c>
      <c r="F53" s="2">
        <v>1</v>
      </c>
      <c r="G53" s="2" t="s">
        <v>397</v>
      </c>
      <c r="H53" s="2" t="s">
        <v>395</v>
      </c>
      <c r="I53" s="2" t="s">
        <v>2255</v>
      </c>
      <c r="J53" s="2" t="s">
        <v>2317</v>
      </c>
    </row>
    <row r="54" spans="1:10">
      <c r="A54" s="2" t="s">
        <v>2307</v>
      </c>
      <c r="B54" s="2" t="s">
        <v>2316</v>
      </c>
      <c r="C54" s="2" t="s">
        <v>204</v>
      </c>
      <c r="D54" s="2" t="s">
        <v>1197</v>
      </c>
      <c r="E54" s="2" t="s">
        <v>1994</v>
      </c>
      <c r="F54" s="2">
        <v>-1</v>
      </c>
      <c r="G54" s="2" t="s">
        <v>407</v>
      </c>
      <c r="H54" s="2" t="s">
        <v>395</v>
      </c>
      <c r="I54" s="2" t="s">
        <v>2318</v>
      </c>
      <c r="J54" s="2" t="s">
        <v>2319</v>
      </c>
    </row>
    <row r="55" spans="1:10" ht="28">
      <c r="A55" s="2" t="s">
        <v>2307</v>
      </c>
      <c r="B55" s="2" t="s">
        <v>2320</v>
      </c>
      <c r="C55" s="2" t="s">
        <v>92</v>
      </c>
      <c r="D55" s="2" t="s">
        <v>100</v>
      </c>
      <c r="E55" s="2" t="s">
        <v>2149</v>
      </c>
      <c r="F55" s="2">
        <v>2</v>
      </c>
      <c r="G55" s="2" t="s">
        <v>1279</v>
      </c>
      <c r="H55" s="2" t="s">
        <v>395</v>
      </c>
      <c r="I55" s="2" t="s">
        <v>2321</v>
      </c>
      <c r="J55" s="2" t="s">
        <v>2322</v>
      </c>
    </row>
    <row r="56" spans="1:10">
      <c r="A56" s="2" t="s">
        <v>2181</v>
      </c>
      <c r="B56" s="2" t="s">
        <v>2323</v>
      </c>
      <c r="C56" s="2" t="s">
        <v>139</v>
      </c>
      <c r="D56" s="2" t="s">
        <v>1327</v>
      </c>
      <c r="E56" s="2" t="s">
        <v>443</v>
      </c>
      <c r="F56" s="2">
        <v>-1</v>
      </c>
      <c r="G56" s="2" t="s">
        <v>407</v>
      </c>
      <c r="H56" s="2" t="s">
        <v>395</v>
      </c>
      <c r="I56" s="2" t="s">
        <v>2253</v>
      </c>
      <c r="J56" s="2" t="s">
        <v>2324</v>
      </c>
    </row>
    <row r="57" spans="1:10">
      <c r="A57" s="2" t="s">
        <v>2181</v>
      </c>
      <c r="B57" s="2" t="s">
        <v>2323</v>
      </c>
      <c r="C57" s="2" t="s">
        <v>139</v>
      </c>
      <c r="D57" s="2" t="s">
        <v>1327</v>
      </c>
      <c r="E57" s="2" t="s">
        <v>775</v>
      </c>
      <c r="F57" s="2">
        <v>2</v>
      </c>
      <c r="G57" s="2" t="s">
        <v>1279</v>
      </c>
      <c r="H57" s="2" t="s">
        <v>395</v>
      </c>
      <c r="I57" s="2" t="s">
        <v>2251</v>
      </c>
      <c r="J57" s="2" t="s">
        <v>1159</v>
      </c>
    </row>
    <row r="58" spans="1:10">
      <c r="A58" s="2" t="s">
        <v>2181</v>
      </c>
      <c r="B58" s="2" t="s">
        <v>2323</v>
      </c>
      <c r="C58" s="2" t="s">
        <v>139</v>
      </c>
      <c r="D58" s="2" t="s">
        <v>1327</v>
      </c>
      <c r="E58" s="2" t="s">
        <v>2195</v>
      </c>
      <c r="F58" s="2">
        <v>1</v>
      </c>
      <c r="G58" s="2" t="s">
        <v>397</v>
      </c>
      <c r="H58" s="2" t="s">
        <v>395</v>
      </c>
      <c r="I58" s="2" t="s">
        <v>2325</v>
      </c>
      <c r="J58" s="2" t="s">
        <v>2326</v>
      </c>
    </row>
    <row r="59" spans="1:10">
      <c r="A59" s="2" t="s">
        <v>2181</v>
      </c>
      <c r="B59" s="2" t="s">
        <v>2323</v>
      </c>
      <c r="C59" s="2" t="s">
        <v>139</v>
      </c>
      <c r="D59" s="2" t="s">
        <v>1327</v>
      </c>
      <c r="E59" s="2" t="s">
        <v>1979</v>
      </c>
      <c r="F59" s="2">
        <v>2</v>
      </c>
      <c r="G59" s="2" t="s">
        <v>1279</v>
      </c>
      <c r="H59" s="2" t="s">
        <v>395</v>
      </c>
      <c r="I59" s="2" t="s">
        <v>2298</v>
      </c>
      <c r="J59" s="2" t="s">
        <v>2327</v>
      </c>
    </row>
    <row r="60" spans="1:10">
      <c r="A60" s="2" t="s">
        <v>2181</v>
      </c>
      <c r="B60" s="2" t="s">
        <v>2328</v>
      </c>
      <c r="C60" s="2" t="s">
        <v>155</v>
      </c>
      <c r="D60" s="2" t="s">
        <v>382</v>
      </c>
      <c r="E60" s="2" t="s">
        <v>1838</v>
      </c>
      <c r="F60" s="2">
        <v>2</v>
      </c>
      <c r="G60" s="2" t="s">
        <v>1279</v>
      </c>
      <c r="H60" s="2" t="s">
        <v>395</v>
      </c>
      <c r="I60" s="2" t="s">
        <v>2298</v>
      </c>
      <c r="J60" s="2" t="s">
        <v>2329</v>
      </c>
    </row>
    <row r="61" spans="1:10">
      <c r="A61" s="2" t="s">
        <v>2181</v>
      </c>
      <c r="B61" s="2" t="s">
        <v>2328</v>
      </c>
      <c r="C61" s="2" t="s">
        <v>155</v>
      </c>
      <c r="D61" s="2" t="s">
        <v>439</v>
      </c>
      <c r="E61" s="2" t="s">
        <v>2195</v>
      </c>
      <c r="F61" s="2">
        <v>1</v>
      </c>
      <c r="G61" s="2" t="s">
        <v>397</v>
      </c>
      <c r="H61" s="2" t="s">
        <v>395</v>
      </c>
      <c r="I61" s="2" t="s">
        <v>2255</v>
      </c>
      <c r="J61" s="2" t="s">
        <v>2330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7"/>
  <sheetViews>
    <sheetView workbookViewId="0">
      <selection activeCell="M1" sqref="M1:M1048576"/>
    </sheetView>
  </sheetViews>
  <sheetFormatPr defaultRowHeight="14"/>
  <cols>
    <col min="1" max="1" width="12" customWidth="1"/>
    <col min="2" max="2" width="28" customWidth="1"/>
    <col min="3" max="3" width="24" customWidth="1"/>
    <col min="4" max="4" width="30" customWidth="1"/>
    <col min="5" max="5" width="35" customWidth="1"/>
    <col min="6" max="6" width="18" customWidth="1"/>
    <col min="7" max="7" width="14" customWidth="1"/>
    <col min="8" max="8" width="22" customWidth="1"/>
    <col min="9" max="9" width="15" customWidth="1"/>
    <col min="10" max="10" width="22" customWidth="1"/>
    <col min="11" max="11" width="32" customWidth="1"/>
    <col min="12" max="12" width="65" customWidth="1"/>
  </cols>
  <sheetData>
    <row r="1" spans="1:12">
      <c r="A1" s="1" t="s">
        <v>2331</v>
      </c>
      <c r="B1" s="1" t="s">
        <v>1772</v>
      </c>
      <c r="C1" s="1" t="s">
        <v>66</v>
      </c>
      <c r="D1" s="1" t="s">
        <v>355</v>
      </c>
      <c r="E1" s="1" t="s">
        <v>2332</v>
      </c>
      <c r="F1" s="1" t="s">
        <v>2333</v>
      </c>
      <c r="G1" s="1" t="s">
        <v>375</v>
      </c>
      <c r="H1" s="1" t="s">
        <v>376</v>
      </c>
      <c r="I1" s="1" t="s">
        <v>371</v>
      </c>
      <c r="J1" s="1" t="s">
        <v>369</v>
      </c>
      <c r="K1" s="1" t="s">
        <v>1774</v>
      </c>
      <c r="L1" s="1" t="s">
        <v>1780</v>
      </c>
    </row>
    <row r="2" spans="1:12">
      <c r="A2" s="2" t="s">
        <v>2334</v>
      </c>
      <c r="B2" s="2" t="s">
        <v>2247</v>
      </c>
      <c r="C2" s="2" t="s">
        <v>110</v>
      </c>
      <c r="D2" s="2" t="s">
        <v>260</v>
      </c>
      <c r="E2" s="2" t="s">
        <v>1802</v>
      </c>
      <c r="F2" s="2" t="s">
        <v>2335</v>
      </c>
      <c r="G2" s="2">
        <v>1</v>
      </c>
      <c r="H2" s="2" t="s">
        <v>397</v>
      </c>
      <c r="I2" s="2" t="s">
        <v>395</v>
      </c>
      <c r="J2" s="2" t="s">
        <v>2336</v>
      </c>
      <c r="K2" s="2" t="s">
        <v>1787</v>
      </c>
      <c r="L2" s="2" t="s">
        <v>2337</v>
      </c>
    </row>
    <row r="3" spans="1:12">
      <c r="A3" s="2" t="s">
        <v>2338</v>
      </c>
      <c r="B3" s="2" t="s">
        <v>2247</v>
      </c>
      <c r="C3" s="2" t="s">
        <v>110</v>
      </c>
      <c r="D3" s="2" t="s">
        <v>260</v>
      </c>
      <c r="E3" s="2" t="s">
        <v>2339</v>
      </c>
      <c r="F3" s="2" t="s">
        <v>2340</v>
      </c>
      <c r="G3" s="2">
        <v>-1</v>
      </c>
      <c r="H3" s="2" t="s">
        <v>407</v>
      </c>
      <c r="I3" s="2" t="s">
        <v>395</v>
      </c>
      <c r="J3" s="2" t="s">
        <v>1810</v>
      </c>
      <c r="K3" s="2" t="s">
        <v>1787</v>
      </c>
      <c r="L3" s="2" t="s">
        <v>779</v>
      </c>
    </row>
    <row r="4" spans="1:12">
      <c r="A4" s="2" t="s">
        <v>2341</v>
      </c>
      <c r="B4" s="2" t="s">
        <v>2247</v>
      </c>
      <c r="C4" s="2" t="s">
        <v>110</v>
      </c>
      <c r="D4" s="2" t="s">
        <v>260</v>
      </c>
      <c r="E4" s="2" t="s">
        <v>2342</v>
      </c>
      <c r="F4" s="2" t="s">
        <v>2340</v>
      </c>
      <c r="G4" s="2">
        <v>-1</v>
      </c>
      <c r="H4" s="2" t="s">
        <v>407</v>
      </c>
      <c r="I4" s="2" t="s">
        <v>395</v>
      </c>
      <c r="J4" s="2" t="s">
        <v>1810</v>
      </c>
      <c r="K4" s="2" t="s">
        <v>1787</v>
      </c>
      <c r="L4" s="2" t="s">
        <v>779</v>
      </c>
    </row>
    <row r="5" spans="1:12">
      <c r="A5" s="2" t="s">
        <v>2343</v>
      </c>
      <c r="B5" s="2" t="s">
        <v>2247</v>
      </c>
      <c r="C5" s="2" t="s">
        <v>289</v>
      </c>
      <c r="D5" s="2" t="s">
        <v>260</v>
      </c>
      <c r="E5" s="2" t="s">
        <v>2344</v>
      </c>
      <c r="F5" s="2" t="s">
        <v>2335</v>
      </c>
      <c r="G5" s="2">
        <v>1</v>
      </c>
      <c r="H5" s="2" t="s">
        <v>397</v>
      </c>
      <c r="I5" s="2" t="s">
        <v>395</v>
      </c>
      <c r="J5" s="2" t="s">
        <v>2345</v>
      </c>
      <c r="K5" s="2" t="s">
        <v>1787</v>
      </c>
      <c r="L5" s="2" t="s">
        <v>2346</v>
      </c>
    </row>
    <row r="6" spans="1:12">
      <c r="A6" s="2" t="s">
        <v>2347</v>
      </c>
      <c r="B6" s="2" t="s">
        <v>2247</v>
      </c>
      <c r="C6" s="2" t="s">
        <v>289</v>
      </c>
      <c r="D6" s="2" t="s">
        <v>260</v>
      </c>
      <c r="E6" s="2" t="s">
        <v>2348</v>
      </c>
      <c r="F6" s="2" t="s">
        <v>2335</v>
      </c>
      <c r="G6" s="2">
        <v>-1</v>
      </c>
      <c r="H6" s="2" t="s">
        <v>407</v>
      </c>
      <c r="I6" s="2" t="s">
        <v>395</v>
      </c>
      <c r="J6" s="2" t="s">
        <v>2349</v>
      </c>
      <c r="K6" s="2" t="s">
        <v>1787</v>
      </c>
      <c r="L6" s="2" t="s">
        <v>779</v>
      </c>
    </row>
    <row r="7" spans="1:12">
      <c r="A7" s="2" t="s">
        <v>2350</v>
      </c>
      <c r="B7" s="2" t="s">
        <v>2247</v>
      </c>
      <c r="C7" s="2" t="s">
        <v>289</v>
      </c>
      <c r="D7" s="2" t="s">
        <v>260</v>
      </c>
      <c r="E7" s="2" t="s">
        <v>2351</v>
      </c>
      <c r="F7" s="2" t="s">
        <v>2335</v>
      </c>
      <c r="G7" s="2">
        <v>-1</v>
      </c>
      <c r="H7" s="2" t="s">
        <v>407</v>
      </c>
      <c r="I7" s="2" t="s">
        <v>395</v>
      </c>
      <c r="J7" s="2" t="s">
        <v>2352</v>
      </c>
      <c r="K7" s="2" t="s">
        <v>1787</v>
      </c>
      <c r="L7" s="2" t="s">
        <v>779</v>
      </c>
    </row>
    <row r="8" spans="1:12">
      <c r="A8" s="2" t="s">
        <v>2353</v>
      </c>
      <c r="B8" s="2" t="s">
        <v>2247</v>
      </c>
      <c r="C8" s="2" t="s">
        <v>289</v>
      </c>
      <c r="D8" s="2" t="s">
        <v>260</v>
      </c>
      <c r="E8" s="2" t="s">
        <v>2354</v>
      </c>
      <c r="F8" s="2" t="s">
        <v>2335</v>
      </c>
      <c r="G8" s="2">
        <v>-1</v>
      </c>
      <c r="H8" s="2" t="s">
        <v>407</v>
      </c>
      <c r="I8" s="2" t="s">
        <v>395</v>
      </c>
      <c r="J8" s="2" t="s">
        <v>2355</v>
      </c>
      <c r="K8" s="2" t="s">
        <v>1787</v>
      </c>
      <c r="L8" s="2" t="s">
        <v>779</v>
      </c>
    </row>
    <row r="9" spans="1:12">
      <c r="A9" s="2" t="s">
        <v>2356</v>
      </c>
      <c r="B9" s="2" t="s">
        <v>2247</v>
      </c>
      <c r="C9" s="2" t="s">
        <v>289</v>
      </c>
      <c r="D9" s="2" t="s">
        <v>260</v>
      </c>
      <c r="E9" s="2" t="s">
        <v>2357</v>
      </c>
      <c r="F9" s="2" t="s">
        <v>2335</v>
      </c>
      <c r="G9" s="2">
        <v>-1</v>
      </c>
      <c r="H9" s="2" t="s">
        <v>407</v>
      </c>
      <c r="I9" s="2" t="s">
        <v>395</v>
      </c>
      <c r="J9" s="2" t="s">
        <v>2349</v>
      </c>
      <c r="K9" s="2" t="s">
        <v>1787</v>
      </c>
      <c r="L9" s="2" t="s">
        <v>779</v>
      </c>
    </row>
    <row r="10" spans="1:12">
      <c r="A10" s="2" t="s">
        <v>2358</v>
      </c>
      <c r="B10" s="2" t="s">
        <v>2247</v>
      </c>
      <c r="C10" s="2" t="s">
        <v>289</v>
      </c>
      <c r="D10" s="2" t="s">
        <v>260</v>
      </c>
      <c r="E10" s="2" t="s">
        <v>2359</v>
      </c>
      <c r="F10" s="2" t="s">
        <v>2335</v>
      </c>
      <c r="G10" s="2">
        <v>1</v>
      </c>
      <c r="H10" s="2" t="s">
        <v>397</v>
      </c>
      <c r="I10" s="2" t="s">
        <v>395</v>
      </c>
      <c r="J10" s="2" t="s">
        <v>2360</v>
      </c>
      <c r="K10" s="2" t="s">
        <v>1787</v>
      </c>
      <c r="L10" s="2" t="s">
        <v>816</v>
      </c>
    </row>
    <row r="11" spans="1:12">
      <c r="A11" s="2" t="s">
        <v>2361</v>
      </c>
      <c r="B11" s="2" t="s">
        <v>2247</v>
      </c>
      <c r="C11" s="2" t="s">
        <v>289</v>
      </c>
      <c r="D11" s="2" t="s">
        <v>260</v>
      </c>
      <c r="E11" s="2" t="s">
        <v>1802</v>
      </c>
      <c r="F11" s="2" t="s">
        <v>2335</v>
      </c>
      <c r="G11" s="2">
        <v>-1</v>
      </c>
      <c r="H11" s="2" t="s">
        <v>407</v>
      </c>
      <c r="I11" s="2" t="s">
        <v>107</v>
      </c>
      <c r="J11" s="2" t="s">
        <v>2362</v>
      </c>
      <c r="K11" s="2" t="s">
        <v>1787</v>
      </c>
      <c r="L11" s="2" t="s">
        <v>2363</v>
      </c>
    </row>
    <row r="12" spans="1:12">
      <c r="A12" s="2" t="s">
        <v>2364</v>
      </c>
      <c r="B12" s="2" t="s">
        <v>2247</v>
      </c>
      <c r="C12" s="2" t="s">
        <v>256</v>
      </c>
      <c r="D12" s="2" t="s">
        <v>260</v>
      </c>
      <c r="E12" s="2" t="s">
        <v>2365</v>
      </c>
      <c r="F12" s="2" t="s">
        <v>2366</v>
      </c>
      <c r="G12" s="2">
        <v>1</v>
      </c>
      <c r="H12" s="2" t="s">
        <v>397</v>
      </c>
      <c r="I12" s="2" t="s">
        <v>395</v>
      </c>
      <c r="J12" s="2" t="s">
        <v>1853</v>
      </c>
      <c r="K12" s="2" t="s">
        <v>1787</v>
      </c>
      <c r="L12" s="2" t="s">
        <v>816</v>
      </c>
    </row>
    <row r="13" spans="1:12">
      <c r="A13" s="2" t="s">
        <v>2367</v>
      </c>
      <c r="B13" s="2" t="s">
        <v>2247</v>
      </c>
      <c r="C13" s="2" t="s">
        <v>256</v>
      </c>
      <c r="D13" s="2" t="s">
        <v>260</v>
      </c>
      <c r="E13" s="2" t="s">
        <v>2368</v>
      </c>
      <c r="F13" s="2" t="s">
        <v>2366</v>
      </c>
      <c r="G13" s="2">
        <v>-1</v>
      </c>
      <c r="H13" s="2" t="s">
        <v>407</v>
      </c>
      <c r="I13" s="2" t="s">
        <v>395</v>
      </c>
      <c r="J13" s="2" t="s">
        <v>1853</v>
      </c>
      <c r="K13" s="2" t="s">
        <v>1787</v>
      </c>
      <c r="L13" s="2" t="s">
        <v>779</v>
      </c>
    </row>
    <row r="14" spans="1:12">
      <c r="A14" s="2" t="s">
        <v>2369</v>
      </c>
      <c r="B14" s="2" t="s">
        <v>2247</v>
      </c>
      <c r="C14" s="2" t="s">
        <v>277</v>
      </c>
      <c r="D14" s="2" t="s">
        <v>260</v>
      </c>
      <c r="E14" s="2" t="s">
        <v>2354</v>
      </c>
      <c r="F14" s="2" t="s">
        <v>2335</v>
      </c>
      <c r="G14" s="2">
        <v>-1</v>
      </c>
      <c r="H14" s="2" t="s">
        <v>407</v>
      </c>
      <c r="I14" s="2" t="s">
        <v>395</v>
      </c>
      <c r="J14" s="2" t="s">
        <v>2370</v>
      </c>
      <c r="K14" s="2" t="s">
        <v>1868</v>
      </c>
      <c r="L14" s="2" t="s">
        <v>779</v>
      </c>
    </row>
    <row r="15" spans="1:12">
      <c r="A15" s="2" t="s">
        <v>2371</v>
      </c>
      <c r="B15" s="2" t="s">
        <v>2247</v>
      </c>
      <c r="C15" s="2" t="s">
        <v>299</v>
      </c>
      <c r="D15" s="2" t="s">
        <v>260</v>
      </c>
      <c r="E15" s="2" t="s">
        <v>2372</v>
      </c>
      <c r="F15" s="2" t="s">
        <v>2366</v>
      </c>
      <c r="G15" s="2">
        <v>1</v>
      </c>
      <c r="H15" s="2" t="s">
        <v>397</v>
      </c>
      <c r="I15" s="2" t="s">
        <v>395</v>
      </c>
      <c r="J15" s="2" t="s">
        <v>1693</v>
      </c>
      <c r="K15" s="2" t="s">
        <v>1787</v>
      </c>
      <c r="L15" s="2" t="s">
        <v>816</v>
      </c>
    </row>
    <row r="16" spans="1:12">
      <c r="A16" s="2" t="s">
        <v>2373</v>
      </c>
      <c r="B16" s="2" t="s">
        <v>2247</v>
      </c>
      <c r="C16" s="2" t="s">
        <v>299</v>
      </c>
      <c r="D16" s="2" t="s">
        <v>260</v>
      </c>
      <c r="E16" s="2" t="s">
        <v>2374</v>
      </c>
      <c r="F16" s="2" t="s">
        <v>2366</v>
      </c>
      <c r="G16" s="2">
        <v>-1</v>
      </c>
      <c r="H16" s="2" t="s">
        <v>407</v>
      </c>
      <c r="I16" s="2" t="s">
        <v>395</v>
      </c>
      <c r="J16" s="2" t="s">
        <v>1693</v>
      </c>
      <c r="K16" s="2" t="s">
        <v>1787</v>
      </c>
      <c r="L16" s="2" t="s">
        <v>779</v>
      </c>
    </row>
    <row r="17" spans="1:12">
      <c r="A17" s="2" t="s">
        <v>2375</v>
      </c>
      <c r="B17" s="2" t="s">
        <v>2247</v>
      </c>
      <c r="C17" s="2" t="s">
        <v>299</v>
      </c>
      <c r="D17" s="2" t="s">
        <v>260</v>
      </c>
      <c r="E17" s="2" t="s">
        <v>2376</v>
      </c>
      <c r="F17" s="2" t="s">
        <v>2366</v>
      </c>
      <c r="G17" s="2">
        <v>-1</v>
      </c>
      <c r="H17" s="2" t="s">
        <v>407</v>
      </c>
      <c r="I17" s="2" t="s">
        <v>395</v>
      </c>
      <c r="J17" s="2" t="s">
        <v>1693</v>
      </c>
      <c r="K17" s="2" t="s">
        <v>1787</v>
      </c>
      <c r="L17" s="2" t="s">
        <v>779</v>
      </c>
    </row>
    <row r="18" spans="1:12">
      <c r="A18" s="2" t="s">
        <v>2377</v>
      </c>
      <c r="B18" s="2" t="s">
        <v>2247</v>
      </c>
      <c r="C18" s="2" t="s">
        <v>299</v>
      </c>
      <c r="D18" s="2" t="s">
        <v>260</v>
      </c>
      <c r="E18" s="2" t="s">
        <v>2378</v>
      </c>
      <c r="F18" s="2" t="s">
        <v>2366</v>
      </c>
      <c r="G18" s="2">
        <v>-1</v>
      </c>
      <c r="H18" s="2" t="s">
        <v>407</v>
      </c>
      <c r="I18" s="2" t="s">
        <v>395</v>
      </c>
      <c r="J18" s="2" t="s">
        <v>1693</v>
      </c>
      <c r="K18" s="2" t="s">
        <v>1787</v>
      </c>
      <c r="L18" s="2" t="s">
        <v>779</v>
      </c>
    </row>
    <row r="19" spans="1:12">
      <c r="A19" s="2" t="s">
        <v>2379</v>
      </c>
      <c r="B19" s="2" t="s">
        <v>2247</v>
      </c>
      <c r="C19" s="2" t="s">
        <v>299</v>
      </c>
      <c r="D19" s="2" t="s">
        <v>260</v>
      </c>
      <c r="E19" s="2" t="s">
        <v>2380</v>
      </c>
      <c r="F19" s="2" t="s">
        <v>2366</v>
      </c>
      <c r="G19" s="2">
        <v>1</v>
      </c>
      <c r="H19" s="2" t="s">
        <v>397</v>
      </c>
      <c r="I19" s="2" t="s">
        <v>395</v>
      </c>
      <c r="J19" s="2" t="s">
        <v>1693</v>
      </c>
      <c r="K19" s="2" t="s">
        <v>1787</v>
      </c>
      <c r="L19" s="2" t="s">
        <v>816</v>
      </c>
    </row>
    <row r="20" spans="1:12">
      <c r="A20" s="2" t="s">
        <v>2381</v>
      </c>
      <c r="B20" s="2" t="s">
        <v>2247</v>
      </c>
      <c r="C20" s="2" t="s">
        <v>299</v>
      </c>
      <c r="D20" s="2" t="s">
        <v>260</v>
      </c>
      <c r="E20" s="2" t="s">
        <v>2382</v>
      </c>
      <c r="F20" s="2" t="s">
        <v>2366</v>
      </c>
      <c r="G20" s="2">
        <v>1</v>
      </c>
      <c r="H20" s="2" t="s">
        <v>397</v>
      </c>
      <c r="I20" s="2" t="s">
        <v>395</v>
      </c>
      <c r="J20" s="2" t="s">
        <v>1693</v>
      </c>
      <c r="K20" s="2" t="s">
        <v>1787</v>
      </c>
      <c r="L20" s="2" t="s">
        <v>816</v>
      </c>
    </row>
    <row r="21" spans="1:12">
      <c r="A21" s="2" t="s">
        <v>2383</v>
      </c>
      <c r="B21" s="2" t="s">
        <v>2384</v>
      </c>
      <c r="C21" s="2" t="s">
        <v>193</v>
      </c>
      <c r="D21" s="2" t="s">
        <v>889</v>
      </c>
      <c r="E21" s="2" t="s">
        <v>2385</v>
      </c>
      <c r="F21" s="2" t="s">
        <v>2386</v>
      </c>
      <c r="G21" s="2">
        <v>-1</v>
      </c>
      <c r="H21" s="2" t="s">
        <v>407</v>
      </c>
      <c r="I21" s="2" t="s">
        <v>395</v>
      </c>
      <c r="J21" s="2" t="s">
        <v>2387</v>
      </c>
      <c r="K21" s="2" t="s">
        <v>2388</v>
      </c>
      <c r="L21" s="2" t="s">
        <v>779</v>
      </c>
    </row>
    <row r="22" spans="1:12">
      <c r="A22" s="2" t="s">
        <v>2389</v>
      </c>
      <c r="B22" s="2" t="s">
        <v>2384</v>
      </c>
      <c r="C22" s="2" t="s">
        <v>193</v>
      </c>
      <c r="D22" s="2" t="s">
        <v>889</v>
      </c>
      <c r="E22" s="2" t="s">
        <v>2390</v>
      </c>
      <c r="F22" s="2" t="s">
        <v>2386</v>
      </c>
      <c r="G22" s="2">
        <v>-1</v>
      </c>
      <c r="H22" s="2" t="s">
        <v>407</v>
      </c>
      <c r="I22" s="2" t="s">
        <v>395</v>
      </c>
      <c r="J22" s="2" t="s">
        <v>2387</v>
      </c>
      <c r="K22" s="2" t="s">
        <v>2138</v>
      </c>
      <c r="L22" s="2" t="s">
        <v>779</v>
      </c>
    </row>
    <row r="23" spans="1:12">
      <c r="A23" s="2" t="s">
        <v>2391</v>
      </c>
      <c r="B23" s="2" t="s">
        <v>2384</v>
      </c>
      <c r="C23" s="2" t="s">
        <v>193</v>
      </c>
      <c r="D23" s="2" t="s">
        <v>889</v>
      </c>
      <c r="E23" s="2" t="s">
        <v>2392</v>
      </c>
      <c r="F23" s="2" t="s">
        <v>2386</v>
      </c>
      <c r="G23" s="2">
        <v>1</v>
      </c>
      <c r="H23" s="2" t="s">
        <v>397</v>
      </c>
      <c r="I23" s="2" t="s">
        <v>395</v>
      </c>
      <c r="J23" s="2" t="s">
        <v>2387</v>
      </c>
      <c r="K23" s="2" t="s">
        <v>2388</v>
      </c>
      <c r="L23" s="2" t="s">
        <v>816</v>
      </c>
    </row>
    <row r="24" spans="1:12">
      <c r="A24" s="2" t="s">
        <v>2393</v>
      </c>
      <c r="B24" s="2" t="s">
        <v>2384</v>
      </c>
      <c r="C24" s="2" t="s">
        <v>277</v>
      </c>
      <c r="D24" s="2" t="s">
        <v>789</v>
      </c>
      <c r="E24" s="2" t="s">
        <v>2394</v>
      </c>
      <c r="F24" s="2" t="s">
        <v>2335</v>
      </c>
      <c r="G24" s="2">
        <v>-1</v>
      </c>
      <c r="H24" s="2" t="s">
        <v>407</v>
      </c>
      <c r="I24" s="2" t="s">
        <v>395</v>
      </c>
      <c r="J24" s="2" t="s">
        <v>1848</v>
      </c>
      <c r="K24" s="2" t="s">
        <v>2395</v>
      </c>
      <c r="L24" s="2" t="s">
        <v>779</v>
      </c>
    </row>
    <row r="25" spans="1:12">
      <c r="A25" s="2" t="s">
        <v>2396</v>
      </c>
      <c r="B25" s="2" t="s">
        <v>2384</v>
      </c>
      <c r="C25" s="2" t="s">
        <v>277</v>
      </c>
      <c r="D25" s="2" t="s">
        <v>789</v>
      </c>
      <c r="E25" s="2" t="s">
        <v>2397</v>
      </c>
      <c r="F25" s="2" t="s">
        <v>2335</v>
      </c>
      <c r="G25" s="2">
        <v>1</v>
      </c>
      <c r="H25" s="2" t="s">
        <v>397</v>
      </c>
      <c r="I25" s="2" t="s">
        <v>395</v>
      </c>
      <c r="J25" s="2" t="s">
        <v>1848</v>
      </c>
      <c r="K25" s="2" t="s">
        <v>2398</v>
      </c>
      <c r="L25" s="2" t="s">
        <v>816</v>
      </c>
    </row>
    <row r="26" spans="1:12">
      <c r="A26" s="2" t="s">
        <v>2399</v>
      </c>
      <c r="B26" s="2" t="s">
        <v>2384</v>
      </c>
      <c r="C26" s="2" t="s">
        <v>277</v>
      </c>
      <c r="D26" s="2" t="s">
        <v>789</v>
      </c>
      <c r="E26" s="2" t="s">
        <v>2400</v>
      </c>
      <c r="F26" s="2" t="s">
        <v>2366</v>
      </c>
      <c r="G26" s="2">
        <v>1</v>
      </c>
      <c r="H26" s="2" t="s">
        <v>397</v>
      </c>
      <c r="I26" s="2" t="s">
        <v>395</v>
      </c>
      <c r="J26" s="2" t="s">
        <v>1848</v>
      </c>
      <c r="K26" s="2" t="s">
        <v>2398</v>
      </c>
      <c r="L26" s="2" t="s">
        <v>816</v>
      </c>
    </row>
    <row r="27" spans="1:12" ht="28">
      <c r="A27" s="2" t="s">
        <v>2401</v>
      </c>
      <c r="B27" s="2" t="s">
        <v>2384</v>
      </c>
      <c r="C27" s="2" t="s">
        <v>169</v>
      </c>
      <c r="D27" s="2" t="s">
        <v>174</v>
      </c>
      <c r="E27" s="2" t="s">
        <v>1747</v>
      </c>
      <c r="F27" s="2" t="s">
        <v>2366</v>
      </c>
      <c r="G27" s="2">
        <v>-1</v>
      </c>
      <c r="H27" s="2" t="s">
        <v>407</v>
      </c>
      <c r="I27" s="2" t="s">
        <v>395</v>
      </c>
      <c r="J27" s="2" t="s">
        <v>2077</v>
      </c>
      <c r="K27" s="2" t="s">
        <v>1258</v>
      </c>
      <c r="L27" s="2" t="s">
        <v>2402</v>
      </c>
    </row>
    <row r="28" spans="1:12">
      <c r="A28" s="2" t="s">
        <v>2403</v>
      </c>
      <c r="B28" s="2" t="s">
        <v>2384</v>
      </c>
      <c r="C28" s="2" t="s">
        <v>265</v>
      </c>
      <c r="D28" s="2" t="s">
        <v>1508</v>
      </c>
      <c r="E28" s="2" t="s">
        <v>2344</v>
      </c>
      <c r="F28" s="2" t="s">
        <v>2335</v>
      </c>
      <c r="G28" s="2">
        <v>1</v>
      </c>
      <c r="H28" s="2" t="s">
        <v>397</v>
      </c>
      <c r="I28" s="2" t="s">
        <v>395</v>
      </c>
      <c r="J28" s="2" t="s">
        <v>2404</v>
      </c>
      <c r="K28" s="2" t="s">
        <v>2405</v>
      </c>
      <c r="L28" s="2" t="s">
        <v>695</v>
      </c>
    </row>
    <row r="29" spans="1:12">
      <c r="A29" s="2" t="s">
        <v>2406</v>
      </c>
      <c r="B29" s="2" t="s">
        <v>2384</v>
      </c>
      <c r="C29" s="2" t="s">
        <v>265</v>
      </c>
      <c r="D29" s="2" t="s">
        <v>1508</v>
      </c>
      <c r="E29" s="2" t="s">
        <v>2390</v>
      </c>
      <c r="F29" s="2" t="s">
        <v>2386</v>
      </c>
      <c r="G29" s="2">
        <v>1</v>
      </c>
      <c r="H29" s="2" t="s">
        <v>397</v>
      </c>
      <c r="I29" s="2" t="s">
        <v>395</v>
      </c>
      <c r="J29" s="2" t="s">
        <v>1816</v>
      </c>
      <c r="K29" s="2" t="s">
        <v>2407</v>
      </c>
      <c r="L29" s="2" t="s">
        <v>695</v>
      </c>
    </row>
    <row r="30" spans="1:12">
      <c r="A30" s="2" t="s">
        <v>2408</v>
      </c>
      <c r="B30" s="2" t="s">
        <v>2384</v>
      </c>
      <c r="C30" s="2" t="s">
        <v>216</v>
      </c>
      <c r="D30" s="2" t="s">
        <v>221</v>
      </c>
      <c r="E30" s="2" t="s">
        <v>2409</v>
      </c>
      <c r="F30" s="2" t="s">
        <v>2366</v>
      </c>
      <c r="G30" s="2">
        <v>1</v>
      </c>
      <c r="H30" s="2" t="s">
        <v>397</v>
      </c>
      <c r="I30" s="2" t="s">
        <v>395</v>
      </c>
      <c r="J30" s="2" t="s">
        <v>2387</v>
      </c>
      <c r="K30" s="2" t="s">
        <v>1292</v>
      </c>
      <c r="L30" s="2" t="s">
        <v>2410</v>
      </c>
    </row>
    <row r="31" spans="1:12">
      <c r="A31" s="2" t="s">
        <v>2411</v>
      </c>
      <c r="B31" s="2" t="s">
        <v>2384</v>
      </c>
      <c r="C31" s="2" t="s">
        <v>216</v>
      </c>
      <c r="D31" s="2" t="s">
        <v>221</v>
      </c>
      <c r="E31" s="2" t="s">
        <v>2412</v>
      </c>
      <c r="F31" s="2" t="s">
        <v>2366</v>
      </c>
      <c r="G31" s="2">
        <v>1</v>
      </c>
      <c r="H31" s="2" t="s">
        <v>397</v>
      </c>
      <c r="I31" s="2" t="s">
        <v>395</v>
      </c>
      <c r="J31" s="2" t="s">
        <v>2387</v>
      </c>
      <c r="K31" s="2" t="s">
        <v>1292</v>
      </c>
      <c r="L31" s="2" t="s">
        <v>2410</v>
      </c>
    </row>
    <row r="32" spans="1:12">
      <c r="A32" s="2" t="s">
        <v>2413</v>
      </c>
      <c r="B32" s="2" t="s">
        <v>2384</v>
      </c>
      <c r="C32" s="2" t="s">
        <v>216</v>
      </c>
      <c r="D32" s="2" t="s">
        <v>221</v>
      </c>
      <c r="E32" s="2" t="s">
        <v>2414</v>
      </c>
      <c r="F32" s="2" t="s">
        <v>2335</v>
      </c>
      <c r="G32" s="2">
        <v>-1</v>
      </c>
      <c r="H32" s="2" t="s">
        <v>407</v>
      </c>
      <c r="I32" s="2" t="s">
        <v>395</v>
      </c>
      <c r="J32" s="2" t="s">
        <v>2387</v>
      </c>
      <c r="K32" s="2" t="s">
        <v>1292</v>
      </c>
      <c r="L32" s="2" t="s">
        <v>2415</v>
      </c>
    </row>
    <row r="33" spans="1:12">
      <c r="A33" s="2" t="s">
        <v>2416</v>
      </c>
      <c r="B33" s="2" t="s">
        <v>2384</v>
      </c>
      <c r="C33" s="2" t="s">
        <v>139</v>
      </c>
      <c r="D33" s="2" t="s">
        <v>1327</v>
      </c>
      <c r="E33" s="2" t="s">
        <v>2414</v>
      </c>
      <c r="F33" s="2" t="s">
        <v>2335</v>
      </c>
      <c r="G33" s="2">
        <v>-1</v>
      </c>
      <c r="H33" s="2" t="s">
        <v>407</v>
      </c>
      <c r="I33" s="2" t="s">
        <v>395</v>
      </c>
      <c r="J33" s="2" t="s">
        <v>2417</v>
      </c>
      <c r="K33" s="2" t="s">
        <v>2418</v>
      </c>
      <c r="L33" s="2" t="s">
        <v>2419</v>
      </c>
    </row>
    <row r="34" spans="1:12">
      <c r="A34" s="2" t="s">
        <v>2420</v>
      </c>
      <c r="B34" s="2" t="s">
        <v>2384</v>
      </c>
      <c r="C34" s="2" t="s">
        <v>139</v>
      </c>
      <c r="D34" s="2" t="s">
        <v>1327</v>
      </c>
      <c r="E34" s="2" t="s">
        <v>2421</v>
      </c>
      <c r="F34" s="2" t="s">
        <v>2335</v>
      </c>
      <c r="G34" s="2">
        <v>-1</v>
      </c>
      <c r="H34" s="2" t="s">
        <v>407</v>
      </c>
      <c r="I34" s="2" t="s">
        <v>395</v>
      </c>
      <c r="J34" s="2" t="s">
        <v>2422</v>
      </c>
      <c r="K34" s="2" t="s">
        <v>2418</v>
      </c>
      <c r="L34" s="2" t="s">
        <v>2419</v>
      </c>
    </row>
    <row r="35" spans="1:12">
      <c r="A35" s="2" t="s">
        <v>2423</v>
      </c>
      <c r="B35" s="2" t="s">
        <v>2384</v>
      </c>
      <c r="C35" s="2" t="s">
        <v>139</v>
      </c>
      <c r="D35" s="2" t="s">
        <v>1327</v>
      </c>
      <c r="E35" s="2" t="s">
        <v>2344</v>
      </c>
      <c r="F35" s="2" t="s">
        <v>2335</v>
      </c>
      <c r="G35" s="2">
        <v>1</v>
      </c>
      <c r="H35" s="2" t="s">
        <v>397</v>
      </c>
      <c r="I35" s="2" t="s">
        <v>483</v>
      </c>
      <c r="J35" s="2" t="s">
        <v>2424</v>
      </c>
      <c r="K35" s="2" t="s">
        <v>2418</v>
      </c>
      <c r="L35" s="2" t="s">
        <v>2425</v>
      </c>
    </row>
    <row r="36" spans="1:12">
      <c r="A36" s="2" t="s">
        <v>2426</v>
      </c>
      <c r="B36" s="2" t="s">
        <v>2384</v>
      </c>
      <c r="C36" s="2" t="s">
        <v>155</v>
      </c>
      <c r="D36" s="2" t="s">
        <v>439</v>
      </c>
      <c r="E36" s="2" t="s">
        <v>2427</v>
      </c>
      <c r="F36" s="2" t="s">
        <v>2366</v>
      </c>
      <c r="G36" s="2">
        <v>1</v>
      </c>
      <c r="H36" s="2" t="s">
        <v>397</v>
      </c>
      <c r="I36" s="2" t="s">
        <v>395</v>
      </c>
      <c r="J36" s="2" t="s">
        <v>2428</v>
      </c>
      <c r="K36" s="2" t="s">
        <v>2429</v>
      </c>
      <c r="L36" s="2" t="s">
        <v>2430</v>
      </c>
    </row>
    <row r="37" spans="1:12">
      <c r="A37" s="2" t="s">
        <v>2431</v>
      </c>
      <c r="B37" s="2" t="s">
        <v>2384</v>
      </c>
      <c r="C37" s="2" t="s">
        <v>155</v>
      </c>
      <c r="D37" s="2" t="s">
        <v>439</v>
      </c>
      <c r="E37" s="2" t="s">
        <v>2359</v>
      </c>
      <c r="F37" s="2" t="s">
        <v>2432</v>
      </c>
      <c r="G37" s="2">
        <v>1</v>
      </c>
      <c r="H37" s="2" t="s">
        <v>397</v>
      </c>
      <c r="I37" s="2" t="s">
        <v>395</v>
      </c>
      <c r="J37" s="2" t="s">
        <v>2433</v>
      </c>
      <c r="K37" s="2" t="s">
        <v>2429</v>
      </c>
      <c r="L37" s="2" t="s">
        <v>2434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"/>
  <sheetViews>
    <sheetView topLeftCell="K1" workbookViewId="0">
      <selection activeCell="C10" sqref="C10"/>
    </sheetView>
  </sheetViews>
  <sheetFormatPr defaultRowHeight="14"/>
  <cols>
    <col min="1" max="1" width="24" customWidth="1"/>
    <col min="2" max="2" width="14" customWidth="1"/>
    <col min="3" max="3" width="28" customWidth="1"/>
    <col min="4" max="10" width="14" customWidth="1"/>
    <col min="11" max="11" width="50" customWidth="1"/>
    <col min="12" max="13" width="16" customWidth="1"/>
    <col min="14" max="14" width="55" customWidth="1"/>
    <col min="15" max="15" width="65" customWidth="1"/>
  </cols>
  <sheetData>
    <row r="1" spans="1:15">
      <c r="A1" s="1" t="s">
        <v>66</v>
      </c>
      <c r="B1" s="1" t="s">
        <v>69</v>
      </c>
      <c r="C1" s="1" t="s">
        <v>355</v>
      </c>
      <c r="D1" s="1" t="s">
        <v>2435</v>
      </c>
      <c r="E1" s="1" t="s">
        <v>2436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2442</v>
      </c>
      <c r="L1" s="1" t="s">
        <v>2443</v>
      </c>
      <c r="M1" s="1" t="s">
        <v>2444</v>
      </c>
      <c r="N1" s="1" t="s">
        <v>2445</v>
      </c>
      <c r="O1" s="1" t="s">
        <v>2446</v>
      </c>
    </row>
    <row r="2" spans="1:15">
      <c r="A2" s="2" t="s">
        <v>289</v>
      </c>
      <c r="B2" s="2" t="s">
        <v>126</v>
      </c>
      <c r="C2" s="2" t="s">
        <v>260</v>
      </c>
      <c r="D2" s="2" t="s">
        <v>2447</v>
      </c>
      <c r="E2" s="2">
        <v>18</v>
      </c>
      <c r="F2" s="2">
        <v>1.42</v>
      </c>
      <c r="G2" s="2">
        <v>1.04</v>
      </c>
      <c r="H2" s="2">
        <v>18</v>
      </c>
      <c r="I2" s="2">
        <v>2.63</v>
      </c>
      <c r="J2" s="2">
        <v>0.53</v>
      </c>
      <c r="K2" s="2" t="s">
        <v>2448</v>
      </c>
      <c r="L2" s="3" t="b">
        <v>1</v>
      </c>
      <c r="M2" s="3" t="b">
        <v>1</v>
      </c>
      <c r="N2" s="2" t="s">
        <v>2449</v>
      </c>
      <c r="O2" s="2" t="s">
        <v>296</v>
      </c>
    </row>
    <row r="3" spans="1:15" ht="28">
      <c r="A3" s="2" t="s">
        <v>277</v>
      </c>
      <c r="B3" s="2" t="s">
        <v>206</v>
      </c>
      <c r="C3" s="2" t="s">
        <v>260</v>
      </c>
      <c r="D3" s="2" t="s">
        <v>2447</v>
      </c>
      <c r="E3" s="2">
        <v>14</v>
      </c>
      <c r="F3" s="2">
        <v>1.651753</v>
      </c>
      <c r="G3" s="2">
        <v>0.59179000000000004</v>
      </c>
      <c r="H3" s="2">
        <v>14</v>
      </c>
      <c r="I3" s="2">
        <v>2.4482400000000002</v>
      </c>
      <c r="J3" s="2">
        <v>0.69367299999999998</v>
      </c>
      <c r="K3" s="2" t="s">
        <v>2450</v>
      </c>
      <c r="L3" s="3" t="b">
        <v>1</v>
      </c>
      <c r="M3" s="3" t="b">
        <v>1</v>
      </c>
      <c r="N3" s="2" t="s">
        <v>2451</v>
      </c>
      <c r="O3" s="2" t="s">
        <v>2452</v>
      </c>
    </row>
    <row r="4" spans="1:15">
      <c r="A4" s="2" t="s">
        <v>110</v>
      </c>
      <c r="B4" s="2" t="s">
        <v>112</v>
      </c>
      <c r="C4" s="2" t="s">
        <v>260</v>
      </c>
      <c r="D4" s="2" t="s">
        <v>2447</v>
      </c>
      <c r="E4" s="2">
        <v>7</v>
      </c>
      <c r="F4" s="2">
        <v>4.622655</v>
      </c>
      <c r="G4" s="2">
        <v>1.4741409999999999</v>
      </c>
      <c r="H4" s="2">
        <v>7</v>
      </c>
      <c r="I4" s="2">
        <v>5.5435939999999997</v>
      </c>
      <c r="J4" s="2">
        <v>0.35454000000000002</v>
      </c>
      <c r="K4" s="2" t="s">
        <v>2454</v>
      </c>
      <c r="L4" s="3" t="b">
        <v>1</v>
      </c>
      <c r="M4" s="3" t="b">
        <v>1</v>
      </c>
      <c r="N4" s="2" t="s">
        <v>2455</v>
      </c>
      <c r="O4" s="2" t="s">
        <v>2456</v>
      </c>
    </row>
    <row r="5" spans="1:15">
      <c r="A5" s="2" t="s">
        <v>265</v>
      </c>
      <c r="B5" s="2" t="s">
        <v>267</v>
      </c>
      <c r="C5" s="2" t="s">
        <v>1493</v>
      </c>
      <c r="D5" s="2" t="s">
        <v>2447</v>
      </c>
      <c r="E5" s="2">
        <v>51</v>
      </c>
      <c r="F5" s="2">
        <v>4.5666669999999998</v>
      </c>
      <c r="G5" s="2">
        <v>1.068012</v>
      </c>
      <c r="H5" s="2">
        <v>19</v>
      </c>
      <c r="I5" s="2">
        <v>5.6666670000000003</v>
      </c>
      <c r="J5" s="2">
        <v>0.88106600000000002</v>
      </c>
      <c r="K5" s="2" t="s">
        <v>2458</v>
      </c>
      <c r="L5" s="3" t="b">
        <v>0</v>
      </c>
      <c r="M5" s="3" t="b">
        <v>1</v>
      </c>
      <c r="N5" s="2" t="s">
        <v>2449</v>
      </c>
      <c r="O5" s="2" t="s">
        <v>2459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"/>
  <sheetViews>
    <sheetView workbookViewId="0">
      <selection activeCell="D15" sqref="D15"/>
    </sheetView>
  </sheetViews>
  <sheetFormatPr defaultRowHeight="14"/>
  <cols>
    <col min="1" max="1" width="24" customWidth="1"/>
    <col min="2" max="2" width="14" customWidth="1"/>
    <col min="3" max="3" width="28" customWidth="1"/>
    <col min="4" max="4" width="18" customWidth="1"/>
    <col min="5" max="10" width="14" customWidth="1"/>
    <col min="11" max="11" width="50" customWidth="1"/>
    <col min="12" max="13" width="16" customWidth="1"/>
    <col min="14" max="14" width="55" customWidth="1"/>
    <col min="15" max="15" width="70" customWidth="1"/>
  </cols>
  <sheetData>
    <row r="1" spans="1:15">
      <c r="A1" s="1" t="s">
        <v>66</v>
      </c>
      <c r="B1" s="1" t="s">
        <v>69</v>
      </c>
      <c r="C1" s="1" t="s">
        <v>355</v>
      </c>
      <c r="D1" s="1" t="s">
        <v>2435</v>
      </c>
      <c r="E1" s="1" t="s">
        <v>2436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2442</v>
      </c>
      <c r="L1" s="1" t="s">
        <v>2443</v>
      </c>
      <c r="M1" s="1" t="s">
        <v>2444</v>
      </c>
      <c r="N1" s="1" t="s">
        <v>2445</v>
      </c>
      <c r="O1" s="1" t="s">
        <v>2446</v>
      </c>
    </row>
    <row r="2" spans="1:15">
      <c r="A2" s="2" t="s">
        <v>289</v>
      </c>
      <c r="B2" s="2" t="s">
        <v>126</v>
      </c>
      <c r="C2" s="2" t="s">
        <v>260</v>
      </c>
      <c r="D2" s="2" t="s">
        <v>2460</v>
      </c>
      <c r="E2" s="2">
        <v>18</v>
      </c>
      <c r="F2" s="2">
        <v>74.010000000000005</v>
      </c>
      <c r="G2" s="2">
        <v>28.81</v>
      </c>
      <c r="H2" s="2">
        <v>18</v>
      </c>
      <c r="I2" s="2">
        <v>121.7</v>
      </c>
      <c r="J2" s="2">
        <v>27.07</v>
      </c>
      <c r="K2" s="2" t="s">
        <v>2448</v>
      </c>
      <c r="L2" s="3" t="b">
        <v>1</v>
      </c>
      <c r="M2" s="3" t="b">
        <v>1</v>
      </c>
      <c r="N2" s="2" t="s">
        <v>2449</v>
      </c>
      <c r="O2" s="2" t="s">
        <v>2461</v>
      </c>
    </row>
    <row r="3" spans="1:15" ht="28">
      <c r="A3" s="2" t="s">
        <v>277</v>
      </c>
      <c r="B3" s="2" t="s">
        <v>206</v>
      </c>
      <c r="C3" s="2" t="s">
        <v>260</v>
      </c>
      <c r="D3" s="2" t="s">
        <v>2460</v>
      </c>
      <c r="E3" s="2">
        <v>14</v>
      </c>
      <c r="F3" s="2">
        <v>98.397689</v>
      </c>
      <c r="G3" s="2">
        <v>12.612954999999999</v>
      </c>
      <c r="H3" s="2">
        <v>14</v>
      </c>
      <c r="I3" s="2">
        <v>139.693138</v>
      </c>
      <c r="J3" s="2">
        <v>23.544183</v>
      </c>
      <c r="K3" s="2" t="s">
        <v>2450</v>
      </c>
      <c r="L3" s="3" t="b">
        <v>1</v>
      </c>
      <c r="M3" s="3" t="b">
        <v>1</v>
      </c>
      <c r="N3" s="2" t="s">
        <v>2451</v>
      </c>
      <c r="O3" s="2" t="s">
        <v>2452</v>
      </c>
    </row>
    <row r="4" spans="1:15">
      <c r="A4" s="2" t="s">
        <v>110</v>
      </c>
      <c r="B4" s="2" t="s">
        <v>112</v>
      </c>
      <c r="C4" s="2" t="s">
        <v>260</v>
      </c>
      <c r="D4" s="2" t="s">
        <v>2460</v>
      </c>
      <c r="E4" s="2">
        <v>7</v>
      </c>
      <c r="F4" s="2">
        <v>1280.845615</v>
      </c>
      <c r="G4" s="2">
        <v>729.065425</v>
      </c>
      <c r="H4" s="2">
        <v>7</v>
      </c>
      <c r="I4" s="2">
        <v>1636.4323010000001</v>
      </c>
      <c r="J4" s="2">
        <v>524.92710599999998</v>
      </c>
      <c r="K4" s="2" t="s">
        <v>2462</v>
      </c>
      <c r="L4" s="3" t="b">
        <v>1</v>
      </c>
      <c r="M4" s="3" t="b">
        <v>1</v>
      </c>
      <c r="N4" s="2" t="s">
        <v>2455</v>
      </c>
      <c r="O4" s="2" t="s">
        <v>2456</v>
      </c>
    </row>
    <row r="5" spans="1:15">
      <c r="A5" s="2" t="s">
        <v>265</v>
      </c>
      <c r="B5" s="2" t="s">
        <v>267</v>
      </c>
      <c r="C5" s="2" t="s">
        <v>1493</v>
      </c>
      <c r="D5" s="2" t="s">
        <v>2464</v>
      </c>
      <c r="E5" s="2">
        <v>51</v>
      </c>
      <c r="F5" s="2">
        <v>97.666667000000004</v>
      </c>
      <c r="G5" s="2">
        <v>52.637721999999997</v>
      </c>
      <c r="H5" s="2">
        <v>19</v>
      </c>
      <c r="I5" s="2">
        <v>140.66666699999999</v>
      </c>
      <c r="J5" s="2">
        <v>48.859121000000002</v>
      </c>
      <c r="K5" s="2" t="s">
        <v>2458</v>
      </c>
      <c r="L5" s="3" t="b">
        <v>0</v>
      </c>
      <c r="M5" s="3" t="b">
        <v>1</v>
      </c>
      <c r="N5" s="2" t="s">
        <v>2449</v>
      </c>
      <c r="O5" s="2" t="s">
        <v>2465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3"/>
  <sheetViews>
    <sheetView workbookViewId="0"/>
  </sheetViews>
  <sheetFormatPr defaultRowHeight="14"/>
  <cols>
    <col min="1" max="1" width="24" customWidth="1"/>
    <col min="2" max="2" width="20" customWidth="1"/>
    <col min="3" max="3" width="22" customWidth="1"/>
    <col min="4" max="4" width="10" customWidth="1"/>
    <col min="5" max="9" width="16" customWidth="1"/>
    <col min="10" max="14" width="17" customWidth="1"/>
    <col min="15" max="15" width="38" customWidth="1"/>
    <col min="16" max="16" width="35" customWidth="1"/>
    <col min="17" max="17" width="40" customWidth="1"/>
  </cols>
  <sheetData>
    <row r="1" spans="1:17">
      <c r="A1" s="1" t="s">
        <v>66</v>
      </c>
      <c r="B1" s="1" t="s">
        <v>2435</v>
      </c>
      <c r="C1" s="1" t="s">
        <v>2466</v>
      </c>
      <c r="D1" s="1" t="s">
        <v>2467</v>
      </c>
      <c r="E1" s="1" t="s">
        <v>2468</v>
      </c>
      <c r="F1" s="1" t="s">
        <v>2469</v>
      </c>
      <c r="G1" s="1" t="s">
        <v>2470</v>
      </c>
      <c r="H1" s="1" t="s">
        <v>2471</v>
      </c>
      <c r="I1" s="1" t="s">
        <v>2472</v>
      </c>
      <c r="J1" s="1" t="s">
        <v>2473</v>
      </c>
      <c r="K1" s="1" t="s">
        <v>2474</v>
      </c>
      <c r="L1" s="1" t="s">
        <v>2475</v>
      </c>
      <c r="M1" s="1" t="s">
        <v>2476</v>
      </c>
      <c r="N1" s="1" t="s">
        <v>2477</v>
      </c>
      <c r="O1" s="1" t="s">
        <v>2478</v>
      </c>
      <c r="P1" s="1" t="s">
        <v>72</v>
      </c>
      <c r="Q1" s="1" t="s">
        <v>1782</v>
      </c>
    </row>
    <row r="2" spans="1:17">
      <c r="A2" s="2" t="s">
        <v>110</v>
      </c>
      <c r="B2" s="2" t="s">
        <v>2447</v>
      </c>
      <c r="C2" s="2" t="s">
        <v>2479</v>
      </c>
      <c r="D2" s="2">
        <v>7</v>
      </c>
      <c r="E2" s="2">
        <v>3.8405339999999999</v>
      </c>
      <c r="F2" s="2">
        <v>4.5820249999999998</v>
      </c>
      <c r="G2" s="2">
        <v>5.4454050000000001</v>
      </c>
      <c r="H2" s="2">
        <v>4.622655</v>
      </c>
      <c r="I2" s="2">
        <v>1.4741409999999999</v>
      </c>
      <c r="J2" s="2">
        <v>-2.0314822999999999E-2</v>
      </c>
      <c r="K2" s="2">
        <v>30.077128200000001</v>
      </c>
      <c r="L2" s="2">
        <v>1291.5</v>
      </c>
      <c r="M2" s="2">
        <v>1255</v>
      </c>
      <c r="N2" s="2">
        <v>1212.5</v>
      </c>
      <c r="O2" s="2" t="s">
        <v>2480</v>
      </c>
      <c r="P2" s="2" t="s">
        <v>115</v>
      </c>
      <c r="Q2" s="2" t="s">
        <v>2457</v>
      </c>
    </row>
    <row r="3" spans="1:17">
      <c r="A3" s="2" t="s">
        <v>110</v>
      </c>
      <c r="B3" s="2" t="s">
        <v>2447</v>
      </c>
      <c r="C3" s="2" t="s">
        <v>2481</v>
      </c>
      <c r="D3" s="2">
        <v>7</v>
      </c>
      <c r="E3" s="2">
        <v>5.3844609999999999</v>
      </c>
      <c r="F3" s="2">
        <v>5.4758779999999998</v>
      </c>
      <c r="G3" s="2">
        <v>5.7704420000000001</v>
      </c>
      <c r="H3" s="2">
        <v>5.5435939999999997</v>
      </c>
      <c r="I3" s="2">
        <v>0.35454000000000002</v>
      </c>
      <c r="J3" s="2">
        <v>-2.0314822999999999E-2</v>
      </c>
      <c r="K3" s="2">
        <v>30.077128200000001</v>
      </c>
      <c r="L3" s="2">
        <v>1215.5</v>
      </c>
      <c r="M3" s="2">
        <v>1211</v>
      </c>
      <c r="N3" s="2">
        <v>1196.5</v>
      </c>
      <c r="O3" s="2" t="s">
        <v>2480</v>
      </c>
      <c r="P3" s="2" t="s">
        <v>115</v>
      </c>
      <c r="Q3" s="2" t="s">
        <v>2457</v>
      </c>
    </row>
    <row r="4" spans="1:17">
      <c r="A4" s="2" t="s">
        <v>110</v>
      </c>
      <c r="B4" s="2" t="s">
        <v>2460</v>
      </c>
      <c r="C4" s="2" t="s">
        <v>2479</v>
      </c>
      <c r="D4" s="2">
        <v>7</v>
      </c>
      <c r="E4" s="2">
        <v>912.55940499999997</v>
      </c>
      <c r="F4" s="2">
        <v>1223.6977549999999</v>
      </c>
      <c r="G4" s="2">
        <v>1706.2796860000001</v>
      </c>
      <c r="H4" s="2">
        <v>1280.845615</v>
      </c>
      <c r="I4" s="2">
        <v>729.065425</v>
      </c>
      <c r="J4" s="2">
        <v>-12.699524500000001</v>
      </c>
      <c r="K4" s="2">
        <v>17548.9365</v>
      </c>
      <c r="L4" s="2">
        <v>1310</v>
      </c>
      <c r="M4" s="2">
        <v>1285.5</v>
      </c>
      <c r="N4" s="2">
        <v>1247.5</v>
      </c>
      <c r="O4" s="2" t="s">
        <v>2480</v>
      </c>
      <c r="P4" s="2" t="s">
        <v>115</v>
      </c>
      <c r="Q4" s="2" t="s">
        <v>2463</v>
      </c>
    </row>
    <row r="5" spans="1:17">
      <c r="A5" s="2" t="s">
        <v>110</v>
      </c>
      <c r="B5" s="2" t="s">
        <v>2460</v>
      </c>
      <c r="C5" s="2" t="s">
        <v>2481</v>
      </c>
      <c r="D5" s="2">
        <v>7</v>
      </c>
      <c r="E5" s="2">
        <v>1414.190623</v>
      </c>
      <c r="F5" s="2">
        <v>1509.437056</v>
      </c>
      <c r="G5" s="2">
        <v>1985.6692250000001</v>
      </c>
      <c r="H5" s="2">
        <v>1636.4323010000001</v>
      </c>
      <c r="I5" s="2">
        <v>524.92710599999998</v>
      </c>
      <c r="J5" s="2">
        <v>-12.699524500000001</v>
      </c>
      <c r="K5" s="2">
        <v>17548.9365</v>
      </c>
      <c r="L5" s="2">
        <v>1270.5</v>
      </c>
      <c r="M5" s="2">
        <v>1263</v>
      </c>
      <c r="N5" s="2">
        <v>1225.5</v>
      </c>
      <c r="O5" s="2" t="s">
        <v>2480</v>
      </c>
      <c r="P5" s="2" t="s">
        <v>115</v>
      </c>
      <c r="Q5" s="2" t="s">
        <v>2463</v>
      </c>
    </row>
    <row r="6" spans="1:17">
      <c r="A6" s="2" t="s">
        <v>277</v>
      </c>
      <c r="B6" s="2" t="s">
        <v>2447</v>
      </c>
      <c r="C6" s="2" t="s">
        <v>2482</v>
      </c>
      <c r="D6" s="2">
        <v>14</v>
      </c>
      <c r="E6" s="2">
        <v>1.2131590000000001</v>
      </c>
      <c r="F6" s="2">
        <v>1.810524</v>
      </c>
      <c r="G6" s="2">
        <v>1.931576</v>
      </c>
      <c r="H6" s="2">
        <v>1.651753</v>
      </c>
      <c r="I6" s="2">
        <v>0.59179000000000004</v>
      </c>
      <c r="J6" s="2">
        <v>-5.2631300000000004E-3</v>
      </c>
      <c r="K6" s="2">
        <v>4.4657730400000002</v>
      </c>
      <c r="L6" s="2">
        <v>618</v>
      </c>
      <c r="M6" s="2">
        <v>504.5</v>
      </c>
      <c r="N6" s="2">
        <v>481.5</v>
      </c>
      <c r="O6" s="2" t="s">
        <v>2480</v>
      </c>
      <c r="P6" s="2" t="s">
        <v>281</v>
      </c>
      <c r="Q6" s="2" t="s">
        <v>2453</v>
      </c>
    </row>
    <row r="7" spans="1:17">
      <c r="A7" s="2" t="s">
        <v>277</v>
      </c>
      <c r="B7" s="2" t="s">
        <v>2447</v>
      </c>
      <c r="C7" s="2" t="s">
        <v>2483</v>
      </c>
      <c r="D7" s="2">
        <v>14</v>
      </c>
      <c r="E7" s="2">
        <v>1.944734</v>
      </c>
      <c r="F7" s="2">
        <v>2.6131509999999998</v>
      </c>
      <c r="G7" s="2">
        <v>2.786835</v>
      </c>
      <c r="H7" s="2">
        <v>2.4482400000000002</v>
      </c>
      <c r="I7" s="2">
        <v>0.69367299999999998</v>
      </c>
      <c r="J7" s="2">
        <v>-5.2631300000000004E-3</v>
      </c>
      <c r="K7" s="2">
        <v>4.4657730400000002</v>
      </c>
      <c r="L7" s="2">
        <v>479</v>
      </c>
      <c r="M7" s="2">
        <v>352</v>
      </c>
      <c r="N7" s="2">
        <v>319</v>
      </c>
      <c r="O7" s="2" t="s">
        <v>2480</v>
      </c>
      <c r="P7" s="2" t="s">
        <v>281</v>
      </c>
      <c r="Q7" s="2" t="s">
        <v>2453</v>
      </c>
    </row>
    <row r="8" spans="1:17">
      <c r="A8" s="2" t="s">
        <v>277</v>
      </c>
      <c r="B8" s="2" t="s">
        <v>2460</v>
      </c>
      <c r="C8" s="2" t="s">
        <v>2482</v>
      </c>
      <c r="D8" s="2">
        <v>14</v>
      </c>
      <c r="E8" s="2">
        <v>90.942854999999994</v>
      </c>
      <c r="F8" s="2">
        <v>97.995560999999995</v>
      </c>
      <c r="G8" s="2">
        <v>106.254651</v>
      </c>
      <c r="H8" s="2">
        <v>98.397689</v>
      </c>
      <c r="I8" s="2">
        <v>12.612954999999999</v>
      </c>
      <c r="J8" s="2">
        <v>-0.18559752199999999</v>
      </c>
      <c r="K8" s="2">
        <v>248.60794999999999</v>
      </c>
      <c r="L8" s="2">
        <v>849.5</v>
      </c>
      <c r="M8" s="2">
        <v>811.5</v>
      </c>
      <c r="N8" s="2">
        <v>767</v>
      </c>
      <c r="O8" s="2" t="s">
        <v>2480</v>
      </c>
      <c r="P8" s="2" t="s">
        <v>281</v>
      </c>
      <c r="Q8" s="2" t="s">
        <v>2453</v>
      </c>
    </row>
    <row r="9" spans="1:17">
      <c r="A9" s="2" t="s">
        <v>277</v>
      </c>
      <c r="B9" s="2" t="s">
        <v>2460</v>
      </c>
      <c r="C9" s="2" t="s">
        <v>2483</v>
      </c>
      <c r="D9" s="2">
        <v>14</v>
      </c>
      <c r="E9" s="2">
        <v>126.670378</v>
      </c>
      <c r="F9" s="2">
        <v>137.15663799999999</v>
      </c>
      <c r="G9" s="2">
        <v>155.252396</v>
      </c>
      <c r="H9" s="2">
        <v>139.693138</v>
      </c>
      <c r="I9" s="2">
        <v>23.544183</v>
      </c>
      <c r="J9" s="2">
        <v>-0.18559752199999999</v>
      </c>
      <c r="K9" s="2">
        <v>248.60794999999999</v>
      </c>
      <c r="L9" s="2">
        <v>657</v>
      </c>
      <c r="M9" s="2">
        <v>600.5</v>
      </c>
      <c r="N9" s="2">
        <v>503</v>
      </c>
      <c r="O9" s="2" t="s">
        <v>2480</v>
      </c>
      <c r="P9" s="2" t="s">
        <v>281</v>
      </c>
      <c r="Q9" s="2" t="s">
        <v>2453</v>
      </c>
    </row>
    <row r="10" spans="1:17">
      <c r="A10" s="2" t="s">
        <v>265</v>
      </c>
      <c r="B10" s="2" t="s">
        <v>2447</v>
      </c>
      <c r="C10" s="2" t="s">
        <v>2484</v>
      </c>
      <c r="D10" s="2">
        <v>51</v>
      </c>
      <c r="E10" s="2">
        <v>3.9</v>
      </c>
      <c r="F10" s="2">
        <v>4.5</v>
      </c>
      <c r="G10" s="2">
        <v>5.3</v>
      </c>
      <c r="H10" s="2">
        <v>4.5666669999999998</v>
      </c>
      <c r="I10" s="2">
        <v>1.068012</v>
      </c>
      <c r="J10" s="2"/>
      <c r="K10" s="2"/>
      <c r="L10" s="2"/>
      <c r="M10" s="2"/>
      <c r="N10" s="2"/>
      <c r="O10" s="2" t="s">
        <v>2485</v>
      </c>
      <c r="P10" s="2" t="s">
        <v>270</v>
      </c>
      <c r="Q10" s="2" t="s">
        <v>1733</v>
      </c>
    </row>
    <row r="11" spans="1:17">
      <c r="A11" s="2" t="s">
        <v>265</v>
      </c>
      <c r="B11" s="2" t="s">
        <v>2447</v>
      </c>
      <c r="C11" s="2" t="s">
        <v>2483</v>
      </c>
      <c r="D11" s="2">
        <v>19</v>
      </c>
      <c r="E11" s="2">
        <v>5.0999999999999996</v>
      </c>
      <c r="F11" s="2">
        <v>5.7</v>
      </c>
      <c r="G11" s="2">
        <v>6.2</v>
      </c>
      <c r="H11" s="2">
        <v>5.6666670000000003</v>
      </c>
      <c r="I11" s="2">
        <v>0.88106600000000002</v>
      </c>
      <c r="J11" s="2"/>
      <c r="K11" s="2"/>
      <c r="L11" s="2"/>
      <c r="M11" s="2"/>
      <c r="N11" s="2"/>
      <c r="O11" s="2" t="s">
        <v>2485</v>
      </c>
      <c r="P11" s="2" t="s">
        <v>270</v>
      </c>
      <c r="Q11" s="2" t="s">
        <v>1733</v>
      </c>
    </row>
    <row r="12" spans="1:17">
      <c r="A12" s="2" t="s">
        <v>265</v>
      </c>
      <c r="B12" s="2" t="s">
        <v>2464</v>
      </c>
      <c r="C12" s="2" t="s">
        <v>2484</v>
      </c>
      <c r="D12" s="2">
        <v>51</v>
      </c>
      <c r="E12" s="2">
        <v>65</v>
      </c>
      <c r="F12" s="2">
        <v>94</v>
      </c>
      <c r="G12" s="2">
        <v>134</v>
      </c>
      <c r="H12" s="2">
        <v>97.666667000000004</v>
      </c>
      <c r="I12" s="2">
        <v>52.637721999999997</v>
      </c>
      <c r="J12" s="2"/>
      <c r="K12" s="2"/>
      <c r="L12" s="2"/>
      <c r="M12" s="2"/>
      <c r="N12" s="2"/>
      <c r="O12" s="2" t="s">
        <v>2485</v>
      </c>
      <c r="P12" s="2" t="s">
        <v>270</v>
      </c>
      <c r="Q12" s="2" t="s">
        <v>1733</v>
      </c>
    </row>
    <row r="13" spans="1:17">
      <c r="A13" s="2" t="s">
        <v>265</v>
      </c>
      <c r="B13" s="2" t="s">
        <v>2464</v>
      </c>
      <c r="C13" s="2" t="s">
        <v>2483</v>
      </c>
      <c r="D13" s="2">
        <v>19</v>
      </c>
      <c r="E13" s="2">
        <v>113</v>
      </c>
      <c r="F13" s="2">
        <v>135</v>
      </c>
      <c r="G13" s="2">
        <v>174</v>
      </c>
      <c r="H13" s="2">
        <v>140.66666699999999</v>
      </c>
      <c r="I13" s="2">
        <v>48.859121000000002</v>
      </c>
      <c r="J13" s="2"/>
      <c r="K13" s="2"/>
      <c r="L13" s="2"/>
      <c r="M13" s="2"/>
      <c r="N13" s="2"/>
      <c r="O13" s="2" t="s">
        <v>2485</v>
      </c>
      <c r="P13" s="2" t="s">
        <v>270</v>
      </c>
      <c r="Q13" s="2" t="s">
        <v>1733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/>
  </sheetViews>
  <sheetFormatPr defaultRowHeight="14"/>
  <cols>
    <col min="1" max="1" width="30" customWidth="1"/>
    <col min="2" max="2" width="95" customWidth="1"/>
    <col min="3" max="3" width="48" customWidth="1"/>
    <col min="4" max="4" width="70" customWidth="1"/>
  </cols>
  <sheetData>
    <row r="1" spans="1:4">
      <c r="A1" s="1" t="s">
        <v>2486</v>
      </c>
      <c r="B1" s="1" t="s">
        <v>2487</v>
      </c>
      <c r="C1" s="1" t="s">
        <v>2488</v>
      </c>
      <c r="D1" s="1" t="s">
        <v>2489</v>
      </c>
    </row>
    <row r="2" spans="1:4">
      <c r="A2" s="2" t="s">
        <v>2490</v>
      </c>
      <c r="B2" s="2" t="s">
        <v>2491</v>
      </c>
      <c r="C2" s="2" t="s">
        <v>2492</v>
      </c>
      <c r="D2" s="2" t="s">
        <v>2493</v>
      </c>
    </row>
    <row r="3" spans="1:4" ht="28">
      <c r="A3" s="2" t="s">
        <v>2494</v>
      </c>
      <c r="B3" s="2" t="s">
        <v>2495</v>
      </c>
      <c r="C3" s="2" t="s">
        <v>2496</v>
      </c>
      <c r="D3" s="2" t="s">
        <v>2497</v>
      </c>
    </row>
    <row r="4" spans="1:4" ht="28">
      <c r="A4" s="2" t="s">
        <v>2498</v>
      </c>
      <c r="B4" s="2" t="s">
        <v>2499</v>
      </c>
      <c r="C4" s="2" t="s">
        <v>2500</v>
      </c>
      <c r="D4" s="2" t="s">
        <v>2501</v>
      </c>
    </row>
    <row r="5" spans="1:4" ht="28">
      <c r="A5" s="2" t="s">
        <v>2502</v>
      </c>
      <c r="B5" s="2" t="s">
        <v>2503</v>
      </c>
      <c r="C5" s="2" t="s">
        <v>2504</v>
      </c>
      <c r="D5" s="2" t="s">
        <v>2505</v>
      </c>
    </row>
    <row r="6" spans="1:4">
      <c r="A6" s="2" t="s">
        <v>2506</v>
      </c>
      <c r="B6" s="2" t="s">
        <v>2507</v>
      </c>
      <c r="C6" s="2" t="s">
        <v>2508</v>
      </c>
      <c r="D6" s="2" t="s">
        <v>2509</v>
      </c>
    </row>
    <row r="7" spans="1:4" ht="28">
      <c r="A7" s="2" t="s">
        <v>2510</v>
      </c>
      <c r="B7" s="2" t="s">
        <v>2511</v>
      </c>
      <c r="C7" s="2" t="s">
        <v>2512</v>
      </c>
      <c r="D7" s="2" t="s">
        <v>2513</v>
      </c>
    </row>
    <row r="8" spans="1:4">
      <c r="A8" s="2" t="s">
        <v>2514</v>
      </c>
      <c r="B8" s="2" t="s">
        <v>2515</v>
      </c>
      <c r="C8" s="2" t="s">
        <v>2516</v>
      </c>
      <c r="D8" s="2" t="s">
        <v>2517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/>
  </sheetViews>
  <sheetFormatPr defaultRowHeight="14"/>
  <cols>
    <col min="1" max="2" width="30" customWidth="1"/>
    <col min="3" max="3" width="100" customWidth="1"/>
  </cols>
  <sheetData>
    <row r="1" spans="1:3">
      <c r="A1" s="1" t="s">
        <v>2518</v>
      </c>
      <c r="B1" s="1" t="s">
        <v>2519</v>
      </c>
      <c r="C1" s="1" t="s">
        <v>2520</v>
      </c>
    </row>
    <row r="2" spans="1:3">
      <c r="A2" s="2" t="s">
        <v>63</v>
      </c>
      <c r="B2" s="2" t="s">
        <v>375</v>
      </c>
      <c r="C2" s="2" t="s">
        <v>2521</v>
      </c>
    </row>
    <row r="3" spans="1:3">
      <c r="A3" s="2" t="s">
        <v>63</v>
      </c>
      <c r="B3" s="2" t="s">
        <v>90</v>
      </c>
      <c r="C3" s="2" t="s">
        <v>2522</v>
      </c>
    </row>
    <row r="4" spans="1:3">
      <c r="A4" s="2" t="s">
        <v>63</v>
      </c>
      <c r="B4" s="2" t="s">
        <v>1781</v>
      </c>
      <c r="C4" s="2" t="s">
        <v>2523</v>
      </c>
    </row>
    <row r="5" spans="1:3">
      <c r="A5" s="2" t="s">
        <v>63</v>
      </c>
      <c r="B5" s="2" t="s">
        <v>1776</v>
      </c>
      <c r="C5" s="2" t="s">
        <v>2524</v>
      </c>
    </row>
    <row r="6" spans="1:3">
      <c r="A6" s="2" t="s">
        <v>2525</v>
      </c>
      <c r="B6" s="2" t="s">
        <v>2443</v>
      </c>
      <c r="C6" s="2" t="s">
        <v>2526</v>
      </c>
    </row>
    <row r="7" spans="1:3">
      <c r="A7" s="2" t="s">
        <v>2525</v>
      </c>
      <c r="B7" s="2" t="s">
        <v>2444</v>
      </c>
      <c r="C7" s="2" t="s">
        <v>2527</v>
      </c>
    </row>
    <row r="8" spans="1:3">
      <c r="A8" s="2" t="s">
        <v>2525</v>
      </c>
      <c r="B8" s="2" t="s">
        <v>2442</v>
      </c>
      <c r="C8" s="2" t="s">
        <v>2528</v>
      </c>
    </row>
    <row r="9" spans="1:3">
      <c r="A9" s="2" t="s">
        <v>2525</v>
      </c>
      <c r="B9" s="2" t="s">
        <v>2445</v>
      </c>
      <c r="C9" s="2" t="s">
        <v>2529</v>
      </c>
    </row>
    <row r="10" spans="1:3">
      <c r="A10" s="2" t="s">
        <v>2530</v>
      </c>
      <c r="B10" s="2" t="s">
        <v>375</v>
      </c>
      <c r="C10" s="2" t="s">
        <v>2531</v>
      </c>
    </row>
    <row r="11" spans="1:3">
      <c r="A11" s="2" t="s">
        <v>2530</v>
      </c>
      <c r="B11" s="2" t="s">
        <v>380</v>
      </c>
      <c r="C11" s="2" t="s">
        <v>2532</v>
      </c>
    </row>
    <row r="12" spans="1:3">
      <c r="A12" s="2" t="s">
        <v>2530</v>
      </c>
      <c r="B12" s="2" t="s">
        <v>378</v>
      </c>
      <c r="C12" s="2" t="s">
        <v>2533</v>
      </c>
    </row>
    <row r="13" spans="1:3">
      <c r="A13" s="2" t="s">
        <v>2530</v>
      </c>
      <c r="B13" s="2" t="s">
        <v>84</v>
      </c>
      <c r="C13" s="2" t="s">
        <v>2534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9"/>
  <sheetViews>
    <sheetView workbookViewId="0"/>
  </sheetViews>
  <sheetFormatPr defaultRowHeight="14"/>
  <cols>
    <col min="1" max="1" width="16" customWidth="1"/>
    <col min="2" max="2" width="24" customWidth="1"/>
    <col min="3" max="4" width="15" customWidth="1"/>
    <col min="5" max="10" width="14" customWidth="1"/>
    <col min="11" max="19" width="16" customWidth="1"/>
  </cols>
  <sheetData>
    <row r="1" spans="1:19" ht="28">
      <c r="A1" s="1" t="s">
        <v>2535</v>
      </c>
      <c r="B1" s="1" t="s">
        <v>66</v>
      </c>
      <c r="C1" s="1" t="s">
        <v>2443</v>
      </c>
      <c r="D1" s="1" t="s">
        <v>2444</v>
      </c>
      <c r="E1" s="1" t="s">
        <v>2436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2536</v>
      </c>
      <c r="L1" s="1" t="s">
        <v>2537</v>
      </c>
      <c r="M1" s="1" t="s">
        <v>2538</v>
      </c>
      <c r="N1" s="1" t="s">
        <v>2539</v>
      </c>
      <c r="O1" s="1" t="s">
        <v>2540</v>
      </c>
      <c r="P1" s="1" t="s">
        <v>2541</v>
      </c>
      <c r="Q1" s="1" t="s">
        <v>2542</v>
      </c>
      <c r="R1" s="1" t="s">
        <v>2543</v>
      </c>
      <c r="S1" s="1" t="s">
        <v>2544</v>
      </c>
    </row>
    <row r="2" spans="1:19">
      <c r="A2" s="2" t="s">
        <v>2447</v>
      </c>
      <c r="B2" s="2" t="s">
        <v>289</v>
      </c>
      <c r="C2" s="3" t="b">
        <v>1</v>
      </c>
      <c r="D2" s="3" t="b">
        <v>1</v>
      </c>
      <c r="E2" s="4">
        <v>18</v>
      </c>
      <c r="F2" s="4">
        <v>1.42</v>
      </c>
      <c r="G2" s="4">
        <v>1.04</v>
      </c>
      <c r="H2" s="4">
        <v>18</v>
      </c>
      <c r="I2" s="4">
        <v>2.63</v>
      </c>
      <c r="J2" s="4">
        <v>0.53</v>
      </c>
      <c r="K2" s="4">
        <f t="shared" ref="K2:K9" si="0">E2+H2-2</f>
        <v>34</v>
      </c>
      <c r="L2" s="4">
        <f t="shared" ref="L2:L9" si="1">SQRT(((E2-1)*G2^2+(H2-1)*J2^2)/K2)</f>
        <v>0.825378700960959</v>
      </c>
      <c r="M2" s="4">
        <f t="shared" ref="M2:M9" si="2">(F2-I2)/L2</f>
        <v>-1.4659937294132259</v>
      </c>
      <c r="N2" s="4">
        <f t="shared" ref="N2:N9" si="3">1-3/(4*K2-1)</f>
        <v>0.97777777777777775</v>
      </c>
      <c r="O2" s="4">
        <f t="shared" ref="O2:O9" si="4">N2*M2</f>
        <v>-1.4334160909818208</v>
      </c>
      <c r="P2" s="4">
        <f t="shared" ref="P2:P9" si="5">(E2+H2)/(E2*H2)+(O2^2)/(2*K2)</f>
        <v>0.14132701831531116</v>
      </c>
      <c r="Q2" s="4">
        <f t="shared" ref="Q2:Q9" si="6">SQRT(P2)</f>
        <v>0.37593485913827035</v>
      </c>
      <c r="R2" s="4">
        <f t="shared" ref="R2:R9" si="7">O2-1.96*Q2</f>
        <v>-2.1702484148928307</v>
      </c>
      <c r="S2" s="4">
        <f t="shared" ref="S2:S9" si="8">O2+1.96*Q2</f>
        <v>-0.69658376707081093</v>
      </c>
    </row>
    <row r="3" spans="1:19">
      <c r="A3" s="2" t="s">
        <v>2447</v>
      </c>
      <c r="B3" s="2" t="s">
        <v>277</v>
      </c>
      <c r="C3" s="3" t="b">
        <v>1</v>
      </c>
      <c r="D3" s="3" t="b">
        <v>1</v>
      </c>
      <c r="E3" s="4">
        <v>14</v>
      </c>
      <c r="F3" s="4">
        <v>1.651753</v>
      </c>
      <c r="G3" s="4">
        <v>0.59179000000000004</v>
      </c>
      <c r="H3" s="4">
        <v>14</v>
      </c>
      <c r="I3" s="4">
        <v>2.4482400000000002</v>
      </c>
      <c r="J3" s="4">
        <v>0.69367299999999998</v>
      </c>
      <c r="K3" s="4">
        <f t="shared" si="0"/>
        <v>26</v>
      </c>
      <c r="L3" s="4">
        <f t="shared" si="1"/>
        <v>0.64474709577825939</v>
      </c>
      <c r="M3" s="4">
        <f t="shared" si="2"/>
        <v>-1.2353479452878791</v>
      </c>
      <c r="N3" s="4">
        <f t="shared" si="3"/>
        <v>0.970873786407767</v>
      </c>
      <c r="O3" s="4">
        <f t="shared" si="4"/>
        <v>-1.199366937172698</v>
      </c>
      <c r="P3" s="4">
        <f t="shared" si="5"/>
        <v>0.17052023997220089</v>
      </c>
      <c r="Q3" s="4">
        <f t="shared" si="6"/>
        <v>0.4129409642699558</v>
      </c>
      <c r="R3" s="4">
        <f t="shared" si="7"/>
        <v>-2.0087312271418112</v>
      </c>
      <c r="S3" s="4">
        <f t="shared" si="8"/>
        <v>-0.39000264720358468</v>
      </c>
    </row>
    <row r="4" spans="1:19">
      <c r="A4" s="2" t="s">
        <v>2447</v>
      </c>
      <c r="B4" s="2" t="s">
        <v>110</v>
      </c>
      <c r="C4" s="3" t="b">
        <v>1</v>
      </c>
      <c r="D4" s="3" t="b">
        <v>1</v>
      </c>
      <c r="E4" s="4">
        <v>7</v>
      </c>
      <c r="F4" s="4">
        <v>4.622655</v>
      </c>
      <c r="G4" s="4">
        <v>1.4741409999999999</v>
      </c>
      <c r="H4" s="4">
        <v>7</v>
      </c>
      <c r="I4" s="4">
        <v>5.5435939999999997</v>
      </c>
      <c r="J4" s="4">
        <v>0.35454000000000002</v>
      </c>
      <c r="K4" s="4">
        <f t="shared" si="0"/>
        <v>12</v>
      </c>
      <c r="L4" s="4">
        <f t="shared" si="1"/>
        <v>1.0720984794973361</v>
      </c>
      <c r="M4" s="4">
        <f t="shared" si="2"/>
        <v>-0.85900597530162626</v>
      </c>
      <c r="N4" s="4">
        <f t="shared" si="3"/>
        <v>0.93617021276595747</v>
      </c>
      <c r="O4" s="4">
        <f t="shared" si="4"/>
        <v>-0.80417580666535227</v>
      </c>
      <c r="P4" s="4">
        <f t="shared" si="5"/>
        <v>0.31266006604869695</v>
      </c>
      <c r="Q4" s="4">
        <f t="shared" si="6"/>
        <v>0.55916014347295617</v>
      </c>
      <c r="R4" s="4">
        <f t="shared" si="7"/>
        <v>-1.9001296878723464</v>
      </c>
      <c r="S4" s="4">
        <f t="shared" si="8"/>
        <v>0.29177807454164173</v>
      </c>
    </row>
    <row r="5" spans="1:19">
      <c r="A5" s="2" t="s">
        <v>2447</v>
      </c>
      <c r="B5" s="2" t="s">
        <v>265</v>
      </c>
      <c r="C5" s="3" t="b">
        <v>0</v>
      </c>
      <c r="D5" s="3" t="b">
        <v>1</v>
      </c>
      <c r="E5" s="4">
        <v>51</v>
      </c>
      <c r="F5" s="4">
        <v>4.5666669999999998</v>
      </c>
      <c r="G5" s="4">
        <v>1.068012</v>
      </c>
      <c r="H5" s="4">
        <v>19</v>
      </c>
      <c r="I5" s="4">
        <v>5.6666670000000003</v>
      </c>
      <c r="J5" s="4">
        <v>0.88106600000000002</v>
      </c>
      <c r="K5" s="4">
        <f t="shared" si="0"/>
        <v>68</v>
      </c>
      <c r="L5" s="4">
        <f t="shared" si="1"/>
        <v>1.0218601330388788</v>
      </c>
      <c r="M5" s="4">
        <f t="shared" si="2"/>
        <v>-1.0764682606109155</v>
      </c>
      <c r="N5" s="4">
        <f t="shared" si="3"/>
        <v>0.98892988929889303</v>
      </c>
      <c r="O5" s="4">
        <f t="shared" si="4"/>
        <v>-1.0645516377997246</v>
      </c>
      <c r="P5" s="4">
        <f t="shared" si="5"/>
        <v>8.0572291125373882E-2</v>
      </c>
      <c r="Q5" s="4">
        <f t="shared" si="6"/>
        <v>0.28385258696262378</v>
      </c>
      <c r="R5" s="4">
        <f t="shared" si="7"/>
        <v>-1.6209027082464673</v>
      </c>
      <c r="S5" s="4">
        <f t="shared" si="8"/>
        <v>-0.50820056735298202</v>
      </c>
    </row>
    <row r="6" spans="1:19">
      <c r="A6" s="2" t="s">
        <v>1822</v>
      </c>
      <c r="B6" s="2" t="s">
        <v>289</v>
      </c>
      <c r="C6" s="3" t="b">
        <v>1</v>
      </c>
      <c r="D6" s="3" t="b">
        <v>1</v>
      </c>
      <c r="E6" s="4">
        <v>18</v>
      </c>
      <c r="F6" s="4">
        <v>74.010000000000005</v>
      </c>
      <c r="G6" s="4">
        <v>28.81</v>
      </c>
      <c r="H6" s="4">
        <v>18</v>
      </c>
      <c r="I6" s="4">
        <v>121.7</v>
      </c>
      <c r="J6" s="4">
        <v>27.07</v>
      </c>
      <c r="K6" s="4">
        <f t="shared" si="0"/>
        <v>34</v>
      </c>
      <c r="L6" s="4">
        <f t="shared" si="1"/>
        <v>27.953541814947172</v>
      </c>
      <c r="M6" s="4">
        <f t="shared" si="2"/>
        <v>-1.7060449912110762</v>
      </c>
      <c r="N6" s="4">
        <f t="shared" si="3"/>
        <v>0.97777777777777775</v>
      </c>
      <c r="O6" s="4">
        <f t="shared" si="4"/>
        <v>-1.6681328802952744</v>
      </c>
      <c r="P6" s="4">
        <f t="shared" si="5"/>
        <v>0.15203268914526125</v>
      </c>
      <c r="Q6" s="4">
        <f t="shared" si="6"/>
        <v>0.3899136944828448</v>
      </c>
      <c r="R6" s="4">
        <f t="shared" si="7"/>
        <v>-2.43236372148165</v>
      </c>
      <c r="S6" s="4">
        <f t="shared" si="8"/>
        <v>-0.90390203910889866</v>
      </c>
    </row>
    <row r="7" spans="1:19">
      <c r="A7" s="2" t="s">
        <v>1822</v>
      </c>
      <c r="B7" s="2" t="s">
        <v>277</v>
      </c>
      <c r="C7" s="3" t="b">
        <v>1</v>
      </c>
      <c r="D7" s="3" t="b">
        <v>1</v>
      </c>
      <c r="E7" s="4">
        <v>14</v>
      </c>
      <c r="F7" s="4">
        <v>98.397689</v>
      </c>
      <c r="G7" s="4">
        <v>12.612954999999999</v>
      </c>
      <c r="H7" s="4">
        <v>14</v>
      </c>
      <c r="I7" s="4">
        <v>139.693138</v>
      </c>
      <c r="J7" s="4">
        <v>23.544183</v>
      </c>
      <c r="K7" s="4">
        <f t="shared" si="0"/>
        <v>26</v>
      </c>
      <c r="L7" s="4">
        <f t="shared" si="1"/>
        <v>18.886704145635285</v>
      </c>
      <c r="M7" s="4">
        <f t="shared" si="2"/>
        <v>-2.1864825478056411</v>
      </c>
      <c r="N7" s="4">
        <f t="shared" si="3"/>
        <v>0.970873786407767</v>
      </c>
      <c r="O7" s="4">
        <f t="shared" si="4"/>
        <v>-2.1227985901025641</v>
      </c>
      <c r="P7" s="4">
        <f t="shared" si="5"/>
        <v>0.22951625543678583</v>
      </c>
      <c r="Q7" s="4">
        <f t="shared" si="6"/>
        <v>0.47907854829535607</v>
      </c>
      <c r="R7" s="4">
        <f t="shared" si="7"/>
        <v>-3.0617925447614622</v>
      </c>
      <c r="S7" s="4">
        <f t="shared" si="8"/>
        <v>-1.1838046354436662</v>
      </c>
    </row>
    <row r="8" spans="1:19">
      <c r="A8" s="2" t="s">
        <v>1822</v>
      </c>
      <c r="B8" s="2" t="s">
        <v>110</v>
      </c>
      <c r="C8" s="3" t="b">
        <v>1</v>
      </c>
      <c r="D8" s="3" t="b">
        <v>1</v>
      </c>
      <c r="E8" s="4">
        <v>7</v>
      </c>
      <c r="F8" s="4">
        <v>1280.845615</v>
      </c>
      <c r="G8" s="4">
        <v>729.065425</v>
      </c>
      <c r="H8" s="4">
        <v>7</v>
      </c>
      <c r="I8" s="4">
        <v>1636.4323010000001</v>
      </c>
      <c r="J8" s="4">
        <v>524.92710599999998</v>
      </c>
      <c r="K8" s="4">
        <f t="shared" si="0"/>
        <v>12</v>
      </c>
      <c r="L8" s="4">
        <f t="shared" si="1"/>
        <v>635.24989592441727</v>
      </c>
      <c r="M8" s="4">
        <f t="shared" si="2"/>
        <v>-0.55975874735492781</v>
      </c>
      <c r="N8" s="4">
        <f t="shared" si="3"/>
        <v>0.93617021276595747</v>
      </c>
      <c r="O8" s="4">
        <f t="shared" si="4"/>
        <v>-0.52402946560886865</v>
      </c>
      <c r="P8" s="4">
        <f t="shared" si="5"/>
        <v>0.29715623908204891</v>
      </c>
      <c r="Q8" s="4">
        <f t="shared" si="6"/>
        <v>0.54512038953065123</v>
      </c>
      <c r="R8" s="4">
        <f t="shared" si="7"/>
        <v>-1.5924654290889451</v>
      </c>
      <c r="S8" s="4">
        <f t="shared" si="8"/>
        <v>0.54440649787120776</v>
      </c>
    </row>
    <row r="9" spans="1:19">
      <c r="A9" s="2" t="s">
        <v>1822</v>
      </c>
      <c r="B9" s="2" t="s">
        <v>265</v>
      </c>
      <c r="C9" s="3" t="b">
        <v>0</v>
      </c>
      <c r="D9" s="3" t="b">
        <v>1</v>
      </c>
      <c r="E9" s="4">
        <v>51</v>
      </c>
      <c r="F9" s="4">
        <v>97.666667000000004</v>
      </c>
      <c r="G9" s="4">
        <v>52.637721999999997</v>
      </c>
      <c r="H9" s="4">
        <v>19</v>
      </c>
      <c r="I9" s="4">
        <v>140.66666699999999</v>
      </c>
      <c r="J9" s="4">
        <v>48.859121000000002</v>
      </c>
      <c r="K9" s="4">
        <f t="shared" si="0"/>
        <v>68</v>
      </c>
      <c r="L9" s="4">
        <f t="shared" si="1"/>
        <v>51.664405706376932</v>
      </c>
      <c r="M9" s="4">
        <f t="shared" si="2"/>
        <v>-0.83229448615708168</v>
      </c>
      <c r="N9" s="4">
        <f t="shared" si="3"/>
        <v>0.98892988929889303</v>
      </c>
      <c r="O9" s="4">
        <f t="shared" si="4"/>
        <v>-0.82308089405940188</v>
      </c>
      <c r="P9" s="4">
        <f t="shared" si="5"/>
        <v>7.7220761482899969E-2</v>
      </c>
      <c r="Q9" s="4">
        <f t="shared" si="6"/>
        <v>0.27788623838344345</v>
      </c>
      <c r="R9" s="4">
        <f t="shared" si="7"/>
        <v>-1.3677379212909511</v>
      </c>
      <c r="S9" s="4">
        <f t="shared" si="8"/>
        <v>-0.2784238668278527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Analysis_plan</vt:lpstr>
      <vt:lpstr>Study_master</vt:lpstr>
      <vt:lpstr>Risk_of_bias</vt:lpstr>
      <vt:lpstr>Cohort_overlap</vt:lpstr>
      <vt:lpstr>Findings_all</vt:lpstr>
      <vt:lpstr>Harvest_input</vt:lpstr>
      <vt:lpstr>Heatmap_input</vt:lpstr>
      <vt:lpstr>Taxon_direction</vt:lpstr>
      <vt:lpstr>MA_Shannon</vt:lpstr>
      <vt:lpstr>MA_Richness</vt:lpstr>
      <vt:lpstr>MA_Digitisation</vt:lpstr>
      <vt:lpstr>Method_references</vt:lpstr>
      <vt:lpstr>Variable_dictionary</vt:lpstr>
      <vt:lpstr>MA_effect_check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Flores Ventura</cp:lastModifiedBy>
  <dcterms:created xsi:type="dcterms:W3CDTF">2026-09-02T14:34:22Z</dcterms:created>
  <dcterms:modified xsi:type="dcterms:W3CDTF">2026-09-02T14:34:22Z</dcterms:modified>
</cp:coreProperties>
</file>